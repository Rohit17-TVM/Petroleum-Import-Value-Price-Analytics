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248c5233245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9abfd65b21a4c9a"/>
    <x:sheet xmlns:r="http://schemas.openxmlformats.org/officeDocument/2006/relationships" name="Monthly_KPIs" sheetId="2" r:id="R3faf9a4d7b354a97"/>
    <x:sheet xmlns:r="http://schemas.openxmlformats.org/officeDocument/2006/relationships" name="Forecast" sheetId="3" r:id="Raf8c89409620436a"/>
    <x:sheet xmlns:r="http://schemas.openxmlformats.org/officeDocument/2006/relationships" name="Scenarios" sheetId="4" r:id="R983419c2a4fa434d"/>
    <x:sheet xmlns:r="http://schemas.openxmlformats.org/officeDocument/2006/relationships" name="Product_Analysis" sheetId="5" r:id="R1fd341b9e1bf4934"/>
    <x:sheet xmlns:r="http://schemas.openxmlformats.org/officeDocument/2006/relationships" name="Price_Context" sheetId="6" r:id="R3c45f26c594b4339"/>
    <x:sheet xmlns:r="http://schemas.openxmlformats.org/officeDocument/2006/relationships" name="Value_Decomp" sheetId="7" r:id="Rfbbe81880a3b40b3"/>
    <x:sheet xmlns:r="http://schemas.openxmlformats.org/officeDocument/2006/relationships" name="Assumptions" sheetId="8" r:id="R4451fcdc009d435b"/>
    <x:sheet xmlns:r="http://schemas.openxmlformats.org/officeDocument/2006/relationships" name="Methodology" sheetId="9" r:id="R31f3cd0be6a34d56"/>
    <x:sheet xmlns:r="http://schemas.openxmlformats.org/officeDocument/2006/relationships" name="Src_Analytical" sheetId="10" r:id="R79f71b0eb38e4cd2"/>
    <x:sheet xmlns:r="http://schemas.openxmlformats.org/officeDocument/2006/relationships" name="Src_CrudePrice" sheetId="11" r:id="R57f9d5e04ba94f32"/>
    <x:sheet xmlns:r="http://schemas.openxmlformats.org/officeDocument/2006/relationships" name="Src_Correlations" sheetId="12" r:id="R2ba7d0eb6a0f4520"/>
    <x:sheet xmlns:r="http://schemas.openxmlformats.org/officeDocument/2006/relationships" name="Src_PriceEcon" sheetId="13" r:id="Rac512c69b0284212"/>
    <x:sheet xmlns:r="http://schemas.openxmlformats.org/officeDocument/2006/relationships" name="Src_Monthly" sheetId="14" r:id="R5c6ee07f02224d86"/>
    <x:sheet xmlns:r="http://schemas.openxmlformats.org/officeDocument/2006/relationships" name="Src_Product" sheetId="15" r:id="R81209702dc2d4113"/>
    <x:sheet xmlns:r="http://schemas.openxmlformats.org/officeDocument/2006/relationships" name="Src_Exposure" sheetId="16" r:id="Ra54d4bcf75cd4eeb"/>
    <x:sheet xmlns:r="http://schemas.openxmlformats.org/officeDocument/2006/relationships" name="Src_Decomp" sheetId="17" r:id="R728d6e6b39b3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.00%"/>
    <x:numFmt numFmtId="202" formatCode="#,##0.00"/>
    <x:numFmt numFmtId="203" formatCode="$0.00"/>
    <x:numFmt numFmtId="204" formatCode="#,##0"/>
    <x:numFmt numFmtId="205" formatCode="0.0%"/>
    <x:numFmt numFmtId="206" formatCode="0.00&quot; M MT&quot;"/>
  </x:numFmts>
  <x:fonts count="15">
    <x:font>
      <x:sz val="11"/>
      <x:name val="Carlito"/>
    </x:font>
    <x:font>
      <x:sz val="10"/>
      <x:color rgb="FF243247"/>
      <x:name val="Aptos"/>
    </x:font>
    <x:font>
      <x:b/>
      <x:sz val="10"/>
      <x:color rgb="FFFFFFFF"/>
      <x:name val="Aptos"/>
    </x:font>
    <x:font>
      <x:b/>
      <x:sz val="16"/>
      <x:color rgb="FF17324D"/>
      <x:name val="Aptos"/>
    </x:font>
    <x:font>
      <x:b/>
      <x:sz val="10"/>
      <x:color rgb="FF243247"/>
      <x:name val="Aptos"/>
    </x:font>
    <x:font>
      <x:b/>
      <x:sz val="10"/>
      <x:color rgb="FF17324D"/>
      <x:name val="Aptos"/>
    </x:font>
    <x:font>
      <x:i/>
      <x:sz val="10"/>
      <x:color rgb="FF6B5520"/>
      <x:name val="Aptos"/>
    </x:font>
    <x:font>
      <x:b/>
      <x:sz val="9"/>
      <x:color rgb="FFFFFFFF"/>
      <x:name val="Aptos"/>
    </x:font>
    <x:font>
      <x:i/>
      <x:sz val="10"/>
      <x:color rgb="FF5C6B7A"/>
      <x:name val="Aptos"/>
    </x:font>
    <x:font>
      <x:sz val="10"/>
      <x:color rgb="FF17324D"/>
      <x:name val="Aptos"/>
    </x:font>
    <x:font>
      <x:b/>
      <x:sz val="9"/>
      <x:color rgb="FF526579"/>
      <x:name val="Aptos"/>
    </x:font>
    <x:font>
      <x:b/>
      <x:sz val="12"/>
      <x:color rgb="FF17324D"/>
      <x:name val="Aptos"/>
    </x:font>
    <x:font>
      <x:b/>
      <x:sz val="10"/>
      <x:color rgb="FF6B5520"/>
      <x:name val="Aptos"/>
    </x:font>
    <x:font>
      <x:i/>
      <x:sz val="9"/>
      <x:color rgb="FF586878"/>
      <x:name val="Aptos"/>
    </x:font>
    <x:font>
      <x:i/>
      <x:sz val="10"/>
      <x:color rgb="FF24324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EAF0F5"/>
      </x:patternFill>
    </x:fill>
    <x:fill>
      <x:patternFill patternType="solid">
        <x:fgColor rgb="FFF3F6F8"/>
      </x:patternFill>
    </x:fill>
  </x:fills>
  <x:borders count="10">
    <x:border/>
    <x:border>
      <x:bottom style="thin">
        <x:color rgb="FF9FBAD0"/>
      </x:bottom>
    </x:border>
    <x:border>
      <x:left style="thin">
        <x:color rgb="FFC6D2DE"/>
      </x:left>
      <x:top style="thin">
        <x:color rgb="FFC6D2DE"/>
      </x:top>
    </x:border>
    <x:border>
      <x:top style="thin">
        <x:color rgb="FFC6D2DE"/>
      </x:top>
    </x:border>
    <x:border>
      <x:right style="thin">
        <x:color rgb="FFC6D2DE"/>
      </x:right>
      <x:top style="thin">
        <x:color rgb="FFC6D2DE"/>
      </x:top>
    </x:border>
    <x:border>
      <x:left style="thin">
        <x:color rgb="FFC6D2DE"/>
      </x:left>
    </x:border>
    <x:border>
      <x:right style="thin">
        <x:color rgb="FFC6D2DE"/>
      </x:right>
    </x:border>
    <x:border>
      <x:left style="thin">
        <x:color rgb="FFC6D2DE"/>
      </x:left>
      <x:bottom style="thin">
        <x:color rgb="FFC6D2DE"/>
      </x:bottom>
    </x:border>
    <x:border>
      <x:bottom style="thin">
        <x:color rgb="FFC6D2DE"/>
      </x:bottom>
    </x:border>
    <x:border>
      <x:right style="thin">
        <x:color rgb="FFC6D2DE"/>
      </x:right>
      <x:bottom style="thin">
        <x:color rgb="FFC6D2DE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1" fontId="1" fillId="3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5" fillId="4" borderId="0" xfId="0" applyNumberFormat="1" applyFont="1" applyFill="1" applyBorder="1"/>
    <x:xf numFmtId="202" fontId="5" fillId="4" borderId="0" xfId="0" applyNumberFormat="1" applyFont="1" applyFill="1" applyBorder="1"/>
    <x:xf numFmtId="0" fontId="5" fillId="4" borderId="1" xfId="0" applyNumberFormat="1" applyFont="1" applyFill="1" applyBorder="1"/>
    <x:xf numFmtId="202" fontId="5" fillId="4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3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10" fillId="5" borderId="2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 applyAlignment="1">
      <x:alignment vertical="center" wrapText="1"/>
    </x:xf>
    <x:xf numFmtId="0" fontId="10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206" fontId="3" fillId="5" borderId="5" xfId="0" applyNumberFormat="1" applyFont="1" applyFill="1" applyBorder="1" applyAlignment="1">
      <x:alignment vertical="center" wrapText="1"/>
    </x:xf>
    <x:xf numFmtId="206" fontId="3" fillId="5" borderId="0" xfId="0" applyNumberFormat="1" applyFont="1" applyFill="1" applyBorder="1" applyAlignment="1">
      <x:alignment vertical="center" wrapText="1"/>
    </x:xf>
    <x:xf numFmtId="206" fontId="3" fillId="5" borderId="6" xfId="0" applyNumberFormat="1" applyFont="1" applyFill="1" applyBorder="1" applyAlignment="1">
      <x:alignment vertical="center" wrapText="1"/>
    </x:xf>
    <x:xf numFmtId="202" fontId="3" fillId="5" borderId="5" xfId="0" applyNumberFormat="1" applyFont="1" applyFill="1" applyBorder="1" applyAlignment="1">
      <x:alignment vertical="center" wrapText="1"/>
    </x:xf>
    <x:xf numFmtId="201" fontId="3" fillId="5" borderId="5" xfId="0" applyNumberFormat="1" applyFont="1" applyFill="1" applyBorder="1" applyAlignment="1">
      <x:alignment vertical="center" wrapText="1"/>
    </x:xf>
    <x:xf numFmtId="201" fontId="3" fillId="5" borderId="0" xfId="0" applyNumberFormat="1" applyFont="1" applyFill="1" applyBorder="1" applyAlignment="1">
      <x:alignment vertical="center" wrapText="1"/>
    </x:xf>
    <x:xf numFmtId="201" fontId="3" fillId="5" borderId="6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206" fontId="4" fillId="5" borderId="5" xfId="0" applyNumberFormat="1" applyFont="1" applyFill="1" applyBorder="1" applyAlignment="1">
      <x:alignment vertical="center" wrapText="1"/>
    </x:xf>
    <x:xf numFmtId="206" fontId="4" fillId="5" borderId="0" xfId="0" applyNumberFormat="1" applyFont="1" applyFill="1" applyBorder="1" applyAlignment="1">
      <x:alignment vertical="center" wrapText="1"/>
    </x:xf>
    <x:xf numFmtId="206" fontId="4" fillId="5" borderId="6" xfId="0" applyNumberFormat="1" applyFont="1" applyFill="1" applyBorder="1" applyAlignment="1">
      <x:alignment vertical="center" wrapText="1"/>
    </x:xf>
    <x:xf numFmtId="202" fontId="4" fillId="5" borderId="5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201" fontId="4" fillId="5" borderId="5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1" fontId="4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6c708c6aa4b6b" /><Relationship Type="http://schemas.openxmlformats.org/officeDocument/2006/relationships/theme" Target="/xl/theme/theme1.xml" Id="R8f79b5b60da1487e" /><Relationship Type="http://schemas.openxmlformats.org/officeDocument/2006/relationships/sharedStrings" Target="/xl/sharedStrings.xml" Id="Rfd088e0005c14d85" /><Relationship Type="http://schemas.openxmlformats.org/officeDocument/2006/relationships/worksheet" Target="/xl/worksheets/sheet1.xml" Id="R69abfd65b21a4c9a" /><Relationship Type="http://schemas.openxmlformats.org/officeDocument/2006/relationships/worksheet" Target="/xl/worksheets/sheet2.xml" Id="R3faf9a4d7b354a97" /><Relationship Type="http://schemas.openxmlformats.org/officeDocument/2006/relationships/worksheet" Target="/xl/worksheets/sheet3.xml" Id="Raf8c89409620436a" /><Relationship Type="http://schemas.openxmlformats.org/officeDocument/2006/relationships/worksheet" Target="/xl/worksheets/sheet4.xml" Id="R983419c2a4fa434d" /><Relationship Type="http://schemas.openxmlformats.org/officeDocument/2006/relationships/worksheet" Target="/xl/worksheets/sheet5.xml" Id="R1fd341b9e1bf4934" /><Relationship Type="http://schemas.openxmlformats.org/officeDocument/2006/relationships/worksheet" Target="/xl/worksheets/sheet6.xml" Id="R3c45f26c594b4339" /><Relationship Type="http://schemas.openxmlformats.org/officeDocument/2006/relationships/worksheet" Target="/xl/worksheets/sheet7.xml" Id="Rfbbe81880a3b40b3" /><Relationship Type="http://schemas.openxmlformats.org/officeDocument/2006/relationships/worksheet" Target="/xl/worksheets/sheet8.xml" Id="R4451fcdc009d435b" /><Relationship Type="http://schemas.openxmlformats.org/officeDocument/2006/relationships/worksheet" Target="/xl/worksheets/sheet9.xml" Id="R31f3cd0be6a34d56" /><Relationship Type="http://schemas.openxmlformats.org/officeDocument/2006/relationships/worksheet" Target="/xl/worksheets/sheet10.xml" Id="R79f71b0eb38e4cd2" /><Relationship Type="http://schemas.openxmlformats.org/officeDocument/2006/relationships/worksheet" Target="/xl/worksheets/sheet11.xml" Id="R57f9d5e04ba94f32" /><Relationship Type="http://schemas.openxmlformats.org/officeDocument/2006/relationships/worksheet" Target="/xl/worksheets/sheet12.xml" Id="R2ba7d0eb6a0f4520" /><Relationship Type="http://schemas.openxmlformats.org/officeDocument/2006/relationships/worksheet" Target="/xl/worksheets/sheet13.xml" Id="Rac512c69b0284212" /><Relationship Type="http://schemas.openxmlformats.org/officeDocument/2006/relationships/worksheet" Target="/xl/worksheets/sheet14.xml" Id="R5c6ee07f02224d86" /><Relationship Type="http://schemas.openxmlformats.org/officeDocument/2006/relationships/worksheet" Target="/xl/worksheets/sheet15.xml" Id="R81209702dc2d4113" /><Relationship Type="http://schemas.openxmlformats.org/officeDocument/2006/relationships/worksheet" Target="/xl/worksheets/sheet16.xml" Id="Ra54d4bcf75cd4eeb" /><Relationship Type="http://schemas.openxmlformats.org/officeDocument/2006/relationships/worksheet" Target="/xl/worksheets/sheet17.xml" Id="R728d6e6b39b340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c8aa6c082749a9" /><Relationship Type="http://schemas.openxmlformats.org/officeDocument/2006/relationships/chart" Target="/xl/drawings/charts/chart2.xml" Id="Rc495bee8bbe64a47" /><Relationship Type="http://schemas.openxmlformats.org/officeDocument/2006/relationships/chart" Target="/xl/drawings/charts/chart3.xml" Id="Ref48c94859a247bc" /><Relationship Type="http://schemas.openxmlformats.org/officeDocument/2006/relationships/chart" Target="/xl/drawings/charts/chart4.xml" Id="Ra7ad6e014ed24e49" /><Relationship Type="http://schemas.openxmlformats.org/officeDocument/2006/relationships/chart" Target="/xl/drawings/charts/chart5.xml" Id="R21802291479a42bc" /><Relationship Type="http://schemas.openxmlformats.org/officeDocument/2006/relationships/chart" Target="/xl/drawings/charts/chart6.xml" Id="R4653ef5854f6428a" /><Relationship Type="http://schemas.openxmlformats.org/officeDocument/2006/relationships/chart" Target="/xl/drawings/charts/chart7.xml" Id="Rf8d4b047151a47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Petroleum Import Volume: Actual vs Forecast ('000 MT)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Chart_Actual_000MT</c:v>
          </c:tx>
          <c:spPr>
            <a:ln xmlns:a="http://schemas.openxmlformats.org/drawingml/2006/main" w="23813">
              <a:solidFill>
                <a:srgbClr val="146C94"/>
              </a:solidFill>
              <a:prstDash val="solid"/>
            </a:ln>
          </c:spPr>
          <c:marker>
            <c:symbol val="none"/>
          </c:marker>
          <c:cat>
            <c:strRef>
              <c:f>'Monthly_KPIs'!$O$4:$O$12</c:f>
              <c:strCache>
                <c:ptCount val="0"/>
              </c:strCache>
            </c:strRef>
          </c:cat>
          <c:val>
            <c:numRef>
              <c:f>'Monthly_KPIs'!$P$4:$P$12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Chart_Forecast_000MT</c:v>
          </c:tx>
          <c:spPr>
            <a:ln xmlns:a="http://schemas.openxmlformats.org/drawingml/2006/main" w="23813">
              <a:solidFill>
                <a:srgbClr val="E59A24"/>
              </a:solidFill>
              <a:prstDash val="dash"/>
            </a:ln>
          </c:spPr>
          <c:marker>
            <c:symbol val="none"/>
          </c:marker>
          <c:cat>
            <c:strRef>
              <c:f>'Monthly_KPIs'!$O$4:$O$12</c:f>
              <c:strCache>
                <c:ptCount val="0"/>
              </c:strCache>
            </c:strRef>
          </c:cat>
          <c:val>
            <c:numRef>
              <c:f>'Monthly_KPIs'!$Q$4:$Q$12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Volume Composition: Crude vs Products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grouping val="percentStacked"/>
        <c:varyColors val="0"/>
        <c:ser>
          <c:idx val="0"/>
          <c:order val="0"/>
          <c:tx>
            <c:v>Crude</c:v>
          </c:tx>
          <c:spPr>
            <a:solidFill xmlns:a="http://schemas.openxmlformats.org/drawingml/2006/main">
              <a:srgbClr val="146C94"/>
            </a:solidFill>
          </c:spPr>
          <c:cat>
            <c:strRef>
              <c:f>'Monthly_KPIs'!$R$4:$R$8</c:f>
              <c:strCache>
                <c:ptCount val="0"/>
              </c:strCache>
            </c:strRef>
          </c:cat>
          <c:val>
            <c:numRef>
              <c:f>'Monthly_KPIs'!$S$4:$S$8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Petroleum Products</c:v>
          </c:tx>
          <c:spPr>
            <a:solidFill xmlns:a="http://schemas.openxmlformats.org/drawingml/2006/main">
              <a:srgbClr val="E59A24"/>
            </a:solidFill>
          </c:spPr>
          <c:cat>
            <c:strRef>
              <c:f>'Monthly_KPIs'!$R$4:$R$8</c:f>
              <c:strCache>
                <c:ptCount val="0"/>
              </c:strCache>
            </c:strRef>
          </c:cat>
          <c:val>
            <c:numRef>
              <c:f>'Monthly_KPIs'!$T$4:$T$8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Apr–Jul Import Volume by Product ('000 MT)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Apr–Jul Volume (000 MT)</c:v>
          </c:tx>
          <c:spPr>
            <a:solidFill xmlns:a="http://schemas.openxmlformats.org/drawingml/2006/main">
              <a:srgbClr val="146C94"/>
            </a:solidFill>
          </c:spPr>
          <c:cat>
            <c:strRef>
              <c:f>'Product_Analysis'!$M$4:$M$10</c:f>
              <c:strCache>
                <c:ptCount val="0"/>
              </c:strCache>
            </c:strRef>
          </c:cat>
          <c:val>
            <c:numRef>
              <c:f>'Product_Analysis'!$N$4:$N$10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Total Import Value (₹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Total Import Value (₹ Cr)</c:v>
          </c:tx>
          <c:spPr>
            <a:ln xmlns:a="http://schemas.openxmlformats.org/drawingml/2006/main" w="23813">
              <a:solidFill>
                <a:srgbClr val="146C94"/>
              </a:solidFill>
              <a:prstDash val="solid"/>
            </a:ln>
          </c:spPr>
          <c:marker>
            <c:symbol val="none"/>
          </c:marker>
          <c:cat>
            <c:strRef>
              <c:f>'Price_Context'!$K$11:$K$14</c:f>
              <c:strCache>
                <c:ptCount val="0"/>
              </c:strCache>
            </c:strRef>
          </c:cat>
          <c:val>
            <c:numRef>
              <c:f>'Price_Context'!$L$11:$L$14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Sep–Dec Volume Scenarios ('000 MT)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Downside</c:v>
          </c:tx>
          <c:spPr>
            <a:solidFill xmlns:a="http://schemas.openxmlformats.org/drawingml/2006/main">
              <a:srgbClr val="B95656"/>
            </a:solidFill>
          </c:spPr>
          <c:cat>
            <c:strRef>
              <c:f>'Scenarios'!$G$4:$G$7</c:f>
              <c:strCache>
                <c:ptCount val="0"/>
              </c:strCache>
            </c:strRef>
          </c:cat>
          <c:val>
            <c:numRef>
              <c:f>'Scenarios'!$H$4:$H$7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Baseline</c:v>
          </c:tx>
          <c:spPr>
            <a:solidFill xmlns:a="http://schemas.openxmlformats.org/drawingml/2006/main">
              <a:srgbClr val="146C94"/>
            </a:solidFill>
          </c:spPr>
          <c:cat>
            <c:strRef>
              <c:f>'Scenarios'!$G$4:$G$7</c:f>
              <c:strCache>
                <c:ptCount val="0"/>
              </c:strCache>
            </c:strRef>
          </c:cat>
          <c:val>
            <c:numRef>
              <c:f>'Scenarios'!$I$4:$I$7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Upside</c:v>
          </c:tx>
          <c:spPr>
            <a:solidFill xmlns:a="http://schemas.openxmlformats.org/drawingml/2006/main">
              <a:srgbClr val="58A77A"/>
            </a:solidFill>
          </c:spPr>
          <c:cat>
            <c:strRef>
              <c:f>'Scenarios'!$G$4:$G$7</c:f>
              <c:strCache>
                <c:ptCount val="0"/>
              </c:strCache>
            </c:strRef>
          </c:cat>
          <c:val>
            <c:numRef>
              <c:f>'Scenarios'!$J$4:$J$7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6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Indian Basket Crude Price (USD/bbl)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Indian_Basket_USD_per_bbl</c:v>
          </c:tx>
          <c:spPr>
            <a:ln xmlns:a="http://schemas.openxmlformats.org/drawingml/2006/main" w="23813">
              <a:solidFill>
                <a:srgbClr val="7657A5"/>
              </a:solidFill>
              <a:prstDash val="solid"/>
            </a:ln>
          </c:spPr>
          <c:marker>
            <c:symbol val="none"/>
          </c:marker>
          <c:cat>
            <c:strRef>
              <c:f>'Price_Context'!$A$4:$A$7</c:f>
              <c:strCache>
                <c:ptCount val="0"/>
              </c:strCache>
            </c:strRef>
          </c:cat>
          <c:val>
            <c:numRef>
              <c:f>'Price_Context'!$B$4:$B$7</c:f>
              <c:numCache>
                <c:formatCode>$0.00</c:formatCode>
                <c:ptCount val="0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Implied Import Cost (USD/tonne)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Implied Import Cost (USD/tonne)</c:v>
          </c:tx>
          <c:spPr>
            <a:ln xmlns:a="http://schemas.openxmlformats.org/drawingml/2006/main" w="23813">
              <a:solidFill>
                <a:srgbClr val="C46A3B"/>
              </a:solidFill>
              <a:prstDash val="solid"/>
            </a:ln>
          </c:spPr>
          <c:marker>
            <c:symbol val="none"/>
          </c:marker>
          <c:cat>
            <c:strRef>
              <c:f>'Price_Context'!$K$19:$K$22</c:f>
              <c:strCache>
                <c:ptCount val="0"/>
              </c:strCache>
            </c:strRef>
          </c:cat>
          <c:val>
            <c:numRef>
              <c:f>'Price_Context'!$L$19:$L$22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c8aa6c082749a9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95bee8bbe64a47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48c94859a247bc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ad6e014ed24e49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802291479a42bc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53ef5854f6428a"/>
        </a:graphicData>
      </a:graphic>
    </xdr:graphicFrame>
    <xdr:clientData/>
  </xdr:twoCellAnchor>
  <xdr:twoCellAnchor>
    <xdr:from>
      <xdr:col>7</xdr:col>
      <xdr:colOff>0</xdr:colOff>
      <xdr:row>54</xdr:row>
      <xdr:rowOff>0</xdr:rowOff>
    </xdr:from>
    <xdr:to>
      <xdr:col>14</xdr:col>
      <xdr:colOff>0</xdr:colOff>
      <xdr:row>69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d4b047151a47a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9" name="MonthlyKPIs" displayName="MonthlyKPIs" ref="A3:N12" headerRowCount="1" totalsRowCount="0" totalsRowShown="0">
  <x:tableColumns count="14">
    <x:tableColumn id="1" name="Month"/>
    <x:tableColumn id="2" name="Month_Sort"/>
    <x:tableColumn id="3" name="Period_Type"/>
    <x:tableColumn id="4" name="Total_Import_Volume_000MT"/>
    <x:tableColumn id="5" name="Crude_Import_Volume_000MT"/>
    <x:tableColumn id="6" name="Product_Import_Volume_000MT"/>
    <x:tableColumn id="7" name="Crude_Volume_Share_pct"/>
    <x:tableColumn id="8" name="Product_Volume_Share_pct"/>
    <x:tableColumn id="9" name="Total_Import_Value_Rs_Cr"/>
    <x:tableColumn id="10" name="Total_Import_Value_USD_M"/>
    <x:tableColumn id="11" name="Indian_Basket_USD_per_bbl"/>
    <x:tableColumn id="12" name="Implied_Rs_per_Tonne"/>
    <x:tableColumn id="13" name="Implied_USD_per_Tonne"/>
    <x:tableColumn id="14" name="Data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VolumeForecast" displayName="VolumeForecast" ref="A3:D7" headerRowCount="1" totalsRowCount="0" totalsRowShown="0">
  <x:tableColumns count="4">
    <x:tableColumn id="1" name="Month"/>
    <x:tableColumn id="2" name="Method"/>
    <x:tableColumn id="3" name="Baseline_Volume_000MT"/>
    <x:tableColumn id="4" name="Period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ForecastBacktest" displayName="ForecastBacktest" ref="F3:I4" headerRowCount="1" totalsRowCount="0" totalsRowShown="0">
  <x:tableColumns count="4">
    <x:tableColumn id="1" name="Back-test month"/>
    <x:tableColumn id="2" name="Actual_Volume_000MT"/>
    <x:tableColumn id="3" name="Forecast_Volume_000MT"/>
    <x:tableColumn id="4" name="APE_p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ScenarioMonthly" displayName="ScenarioMonthly" ref="A3:E7" headerRowCount="1" totalsRowCount="0" totalsRowShown="0">
  <x:tableColumns count="5">
    <x:tableColumn id="1" name="Month"/>
    <x:tableColumn id="2" name="Downside_Adjustment"/>
    <x:tableColumn id="3" name="Downside_000MT"/>
    <x:tableColumn id="4" name="Baseline_000MT"/>
    <x:tableColumn id="5" name="Upside_000M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3" name="ScenarioSummary" displayName="ScenarioSummary" ref="A11:C14" headerRowCount="1" totalsRowCount="0" totalsRowShown="0">
  <x:tableColumns count="3">
    <x:tableColumn id="1" name="Scenario summary"/>
    <x:tableColumn id="2" name="Volume (M MT)"/>
    <x:tableColumn id="3" name="Defin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4" name="ProductAnalysis" displayName="ProductAnalysis" ref="A3:K15" headerRowCount="1" totalsRowCount="0" totalsRowShown="0">
  <x:tableColumns count="11">
    <x:tableColumn id="1" name="Product"/>
    <x:tableColumn id="2" name="Product_Group"/>
    <x:tableColumn id="3" name="Apr_Jul_Volume_000MT"/>
    <x:tableColumn id="4" name="Apr_Jul_Value_Rs_Cr"/>
    <x:tableColumn id="5" name="Apr_Jul_Value_USD_M"/>
    <x:tableColumn id="6" name="Volume_Share_pct"/>
    <x:tableColumn id="7" name="Rs_Value_Share_pct"/>
    <x:tableColumn id="8" name="USD_Value_Share_pct"/>
    <x:tableColumn id="9" name="Implied_Rs_per_Tonne"/>
    <x:tableColumn id="10" name="Implied_USD_per_Tonne"/>
    <x:tableColumn id="11" name="Volume_Ran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5" name="PriceContext" displayName="PriceContext" ref="A3:I7" headerRowCount="1" totalsRowCount="0" totalsRowShown="0">
  <x:tableColumns count="9">
    <x:tableColumn id="1" name="Month"/>
    <x:tableColumn id="2" name="Indian_Basket_USD_per_bbl"/>
    <x:tableColumn id="3" name="Total_Import_Volume_000MT"/>
    <x:tableColumn id="4" name="Total_Import_Value_Rs_Cr"/>
    <x:tableColumn id="5" name="Total_Import_Value_USD_M"/>
    <x:tableColumn id="6" name="Implied_Rs_per_USD"/>
    <x:tableColumn id="7" name="Implied_Rs_per_Tonne"/>
    <x:tableColumn id="8" name="Implied_USD_per_Tonne"/>
    <x:tableColumn id="9" name="Crude_Price_MoM_pc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6" name="ValueDecomposition" displayName="ValueDecomposition" ref="A3:P6" headerRowCount="1" totalsRowCount="0" totalsRowShown="0">
  <x:tableColumns count="16">
    <x:tableColumn id="1" name="Transition"/>
    <x:tableColumn id="2" name="Previous_USD_Value_M"/>
    <x:tableColumn id="3" name="Current_USD_Value_M"/>
    <x:tableColumn id="4" name="USD_Value_MoM_pct"/>
    <x:tableColumn id="5" name="Previous_Implied_Rs_per_USD"/>
    <x:tableColumn id="6" name="Current_Implied_Rs_per_USD"/>
    <x:tableColumn id="7" name="Implied_Rs_per_USD_MoM_pct"/>
    <x:tableColumn id="8" name="Actual_Rs_Value_Change_Cr"/>
    <x:tableColumn id="9" name="USD_Exposure_Effect_Rs_Cr"/>
    <x:tableColumn id="10" name="Currency_Factor_Effect_Rs_Cr"/>
    <x:tableColumn id="11" name="Interaction_Effect_Rs_Cr"/>
    <x:tableColumn id="12" name="Reconciled_Change_Rs_Cr"/>
    <x:tableColumn id="13" name="Residual_Rs_Cr"/>
    <x:tableColumn id="14" name="USD_Effect_Share_of_Change_pct"/>
    <x:tableColumn id="15" name="Currency_Effect_Share_of_Change_pct"/>
    <x:tableColumn id="16" name="Interaction_Share_of_Change_pc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7" name="MethodologyNotes" displayName="MethodologyNotes" ref="A3:C13" headerRowCount="1" totalsRowCount="0" totalsRowShown="0">
  <x:tableColumns count="3">
    <x:tableColumn id="1" name="Topic"/>
    <x:tableColumn id="2" name="Definition / scope"/>
    <x:tableColumn id="3" name="Source / limit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" name="T_AnalyticalSummary" displayName="T_AnalyticalSummary" ref="A1:B7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2" name="T_CrudePrice" displayName="T_CrudePrice" ref="A1:J5" headerRowCount="1" totalsRowCount="0" totalsRowShown="0">
  <x:tableColumns count="10">
    <x:tableColumn id="1" name="Month"/>
    <x:tableColumn id="2" name="Indian_Basket_USD_per_bbl"/>
    <x:tableColumn id="3" name="Price_Status"/>
    <x:tableColumn id="4" name="Total_Import_Volume_000MT"/>
    <x:tableColumn id="5" name="Total_Import_Value_Rs_Cr"/>
    <x:tableColumn id="6" name="Total_Import_Value_USD_M"/>
    <x:tableColumn id="7" name="Implied_Rs_per_USD"/>
    <x:tableColumn id="8" name="Implied_Rs_per_Tonne"/>
    <x:tableColumn id="9" name="Implied_USD_per_Tonne"/>
    <x:tableColumn id="10" name="MoM_Crude_Price_Change_pc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3" name="T_Correlations" displayName="T_Correlations" ref="A1:B5" headerRowCount="1" totalsRowCount="0" totalsRowShown="0">
  <x:tableColumns count="2">
    <x:tableColumn id="1" name="Metric"/>
    <x:tableColumn id="2" name="Pearson_Correla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4" name="T_PriceEconomics" displayName="T_PriceEconomics" ref="A1:Q5" headerRowCount="1" totalsRowCount="0" totalsRowShown="0">
  <x:tableColumns count="17">
    <x:tableColumn id="1" name="Month"/>
    <x:tableColumn id="2" name="Indian_Basket_USD_per_bbl"/>
    <x:tableColumn id="3" name="Total_Import_Volume_000MT"/>
    <x:tableColumn id="4" name="Total_Import_Value_Rs_Cr"/>
    <x:tableColumn id="5" name="Total_Import_Value_USD_M"/>
    <x:tableColumn id="6" name="Implied_Rs_per_USD"/>
    <x:tableColumn id="7" name="Implied_Rs_per_Tonne"/>
    <x:tableColumn id="8" name="Implied_USD_per_Tonne"/>
    <x:tableColumn id="9" name="Crude_Price_MoM_pct"/>
    <x:tableColumn id="10" name="Import_Volume_MoM_pct"/>
    <x:tableColumn id="11" name="Import_Value_Rs_MoM_pct"/>
    <x:tableColumn id="12" name="Import_Value_USD_MoM_pct"/>
    <x:tableColumn id="13" name="Implied_Rs_per_Tonne_MoM_pct"/>
    <x:tableColumn id="14" name="Implied_USD_per_Tonne_MoM_pct"/>
    <x:tableColumn id="15" name="Implied_Rs_per_USD_MoM_pct"/>
    <x:tableColumn id="16" name="Crude_vs_RsUnitValue_Same_Direction"/>
    <x:tableColumn id="17" name="Crude_vs_Total_RsValue_Same_Direc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5" name="T_MonthlySource" displayName="T_MonthlySource" ref="A1:W5" headerRowCount="1" totalsRowCount="0" totalsRowShown="0">
  <x:tableColumns count="23">
    <x:tableColumn id="1" name="Month"/>
    <x:tableColumn id="2" name="Month_Sort"/>
    <x:tableColumn id="3" name="Total_Import_Volume_000MT"/>
    <x:tableColumn id="4" name="Crude_Import_Volume_000MT"/>
    <x:tableColumn id="5" name="Product_Import_Volume_000MT"/>
    <x:tableColumn id="6" name="Total_Import_Value_Rs_Cr"/>
    <x:tableColumn id="7" name="Crude_Import_Value_Rs_Cr"/>
    <x:tableColumn id="8" name="Product_Import_Value_Rs_Cr"/>
    <x:tableColumn id="9" name="Total_Import_Value_USD_M"/>
    <x:tableColumn id="10" name="Crude_Import_Value_USD_M"/>
    <x:tableColumn id="11" name="Product_Import_Value_USD_M"/>
    <x:tableColumn id="12" name="Crude_Volume_Share_pct"/>
    <x:tableColumn id="13" name="Product_Volume_Share_pct"/>
    <x:tableColumn id="14" name="Crude_Value_Share_pct"/>
    <x:tableColumn id="15" name="Product_Value_Share_pct"/>
    <x:tableColumn id="16" name="Implied_Rs_per_USD"/>
    <x:tableColumn id="17" name="Implied_Rs_per_Tonne"/>
    <x:tableColumn id="18" name="Implied_USD_per_Tonne"/>
    <x:tableColumn id="19" name="MoM_Volume_Change_pct"/>
    <x:tableColumn id="20" name="MoM_Rs_Value_Change_pct"/>
    <x:tableColumn id="21" name="MoM_USD_Value_Change_pct"/>
    <x:tableColumn id="22" name="Indian_Basket_USD_per_bbl"/>
    <x:tableColumn id="23" name="Price_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6" name="T_ProductSource" displayName="T_ProductSource" ref="A1:L13" headerRowCount="1" totalsRowCount="0" totalsRowShown="0">
  <x:tableColumns count="12">
    <x:tableColumn id="1" name="Product"/>
    <x:tableColumn id="2" name="Product_Group"/>
    <x:tableColumn id="3" name="Apr_Jul_Volume_000MT"/>
    <x:tableColumn id="4" name="Apr_Jul_Value_Rs_Cr"/>
    <x:tableColumn id="5" name="Apr_Jul_Value_USD_M"/>
    <x:tableColumn id="6" name="Volume_Share_pct"/>
    <x:tableColumn id="7" name="Rs_Value_Share_pct"/>
    <x:tableColumn id="8" name="USD_Value_Share_pct"/>
    <x:tableColumn id="9" name="Implied_Rs_per_Tonne"/>
    <x:tableColumn id="10" name="Implied_USD_per_Tonne"/>
    <x:tableColumn id="11" name="Volume_Rank"/>
    <x:tableColumn id="12" name="Rs_Value_Rank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7" name="T_ExposureSource" displayName="T_ExposureSource" ref="A1:K13" headerRowCount="1" totalsRowCount="0" totalsRowShown="0">
  <x:tableColumns count="11">
    <x:tableColumn id="1" name="Product"/>
    <x:tableColumn id="2" name="Volume_000MT"/>
    <x:tableColumn id="3" name="Value_Rs_Cr"/>
    <x:tableColumn id="4" name="Value_USD_M"/>
    <x:tableColumn id="5" name="Volume_Share_pct"/>
    <x:tableColumn id="6" name="Value_Share_pct"/>
    <x:tableColumn id="7" name="Implied_Rs_per_Tonne"/>
    <x:tableColumn id="8" name="Value_to_Volume_Index"/>
    <x:tableColumn id="9" name="Value_minus_Volume_Share_pp"/>
    <x:tableColumn id="10" name="Financial_Exposure_Rank"/>
    <x:tableColumn id="11" name="High_Value_Relative_to_Volum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8" name="T_Decomposition" displayName="T_Decomposition" ref="A1:P4" headerRowCount="1" totalsRowCount="0" totalsRowShown="0">
  <x:tableColumns count="16">
    <x:tableColumn id="1" name="Transition"/>
    <x:tableColumn id="2" name="Previous_USD_Value_M"/>
    <x:tableColumn id="3" name="Current_USD_Value_M"/>
    <x:tableColumn id="4" name="USD_Value_MoM_pct"/>
    <x:tableColumn id="5" name="Previous_Implied_Rs_per_USD"/>
    <x:tableColumn id="6" name="Current_Implied_Rs_per_USD"/>
    <x:tableColumn id="7" name="Implied_Rs_per_USD_MoM_pct"/>
    <x:tableColumn id="8" name="Actual_Rs_Value_Change_Cr"/>
    <x:tableColumn id="9" name="USD_Exposure_Effect_Rs_Cr"/>
    <x:tableColumn id="10" name="Currency_Factor_Effect_Rs_Cr"/>
    <x:tableColumn id="11" name="Interaction_Effect_Rs_Cr"/>
    <x:tableColumn id="12" name="Reconciled_Change_Rs_Cr"/>
    <x:tableColumn id="13" name="Residual_Rs_Cr"/>
    <x:tableColumn id="14" name="USD_Effect_Share_of_Change_pct"/>
    <x:tableColumn id="15" name="Currency_Effect_Share_of_Change_pct"/>
    <x:tableColumn id="16" name="Interaction_Share_of_Change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4c1be8be9d45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609a936b2a4e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ad1665be67479f" /><Relationship Type="http://schemas.openxmlformats.org/officeDocument/2006/relationships/table" Target="/xl/tables/table3.xml" Id="Ree238a678b5946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c498f964ee4bb9" /><Relationship Type="http://schemas.openxmlformats.org/officeDocument/2006/relationships/table" Target="/xl/tables/table5.xml" Id="R300cfa3788a446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1a8a0969f79d43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c677bb6f24348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84558e6930d946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e8776d87fe64e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66ddae041db48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2fd2b272f974e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eb281c598cf4b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ef75f28488647a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656dc350be04b6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fda2b5361cb4be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af9373f1651445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7d8c32d46f94540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7" t="str">
        <x:v>PETROLEUM IMPORT, VALUE &amp; PRICE ANALYTICS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97" t="str">
        <x:v>FY 2026–27  |  Actual: Apr–Aug 2026  |  Volume outlook: Sep–Dec 2026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98" t="str">
        <x:v>LATEST IMPORT VOLUME</x:v>
      </x:c>
      <x:c r="B5" s="99"/>
      <x:c r="C5" s="100"/>
      <x:c r="D5" s="98" t="str">
        <x:v>LATEST IMPORT VALUE (₹ Cr)</x:v>
      </x:c>
      <x:c r="E5" s="99"/>
      <x:c r="F5" s="100"/>
      <x:c r="G5" s="98" t="str">
        <x:v>CRUDE VOLUME SHARE</x:v>
      </x:c>
      <x:c r="H5" s="99"/>
      <x:c r="I5" s="100"/>
      <x:c r="J5" s="98" t="str">
        <x:v>4-MONTH BASELINE OUTLOOK</x:v>
      </x:c>
      <x:c r="K5" s="99"/>
      <x:c r="L5" s="100"/>
      <x:c r="M5" s="1"/>
      <x:c r="N5" s="1"/>
    </x:row>
    <x:row r="6" ht="23" customHeight="1">
      <x:c r="A6" s="101" t="n">
        <x:f>Monthly_KPIs!D8/1000</x:f>
        <x:v>21.733</x:v>
      </x:c>
      <x:c r="B6" s="102"/>
      <x:c r="C6" s="103"/>
      <x:c r="D6" s="104" t="n">
        <x:f>Monthly_KPIs!I7</x:f>
        <x:v>143230.91395200003</x:v>
      </x:c>
      <x:c r="E6" s="105"/>
      <x:c r="F6" s="106"/>
      <x:c r="G6" s="107" t="n">
        <x:f>Monthly_KPIs!G8</x:f>
        <x:v>0.8749</x:v>
      </x:c>
      <x:c r="H6" s="108"/>
      <x:c r="I6" s="109"/>
      <x:c r="J6" s="101" t="n">
        <x:f>Scenarios!D9/1000</x:f>
        <x:v>90.101226105625</x:v>
      </x:c>
      <x:c r="K6" s="102"/>
      <x:c r="L6" s="103"/>
      <x:c r="M6" s="1"/>
      <x:c r="N6" s="1"/>
    </x:row>
    <x:row r="7" ht="23" customHeight="1">
      <x:c r="A7" s="110" t="str">
        <x:v>August 2026</x:v>
      </x:c>
      <x:c r="B7" s="111"/>
      <x:c r="C7" s="112"/>
      <x:c r="D7" s="110" t="str">
        <x:v>July 2026 | Aug value unavailable</x:v>
      </x:c>
      <x:c r="E7" s="111"/>
      <x:c r="F7" s="112"/>
      <x:c r="G7" s="110" t="str">
        <x:v>August 2026</x:v>
      </x:c>
      <x:c r="H7" s="111"/>
      <x:c r="I7" s="112"/>
      <x:c r="J7" s="110" t="str">
        <x:v>September–December 2026</x:v>
      </x:c>
      <x:c r="K7" s="111"/>
      <x:c r="L7" s="112"/>
      <x:c r="M7" s="1"/>
      <x:c r="N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13" t="str">
        <x:v>Historical actuals and volume outlook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14" t="str">
        <x:v>Planning range: 81.48–103.54 M MT</x:v>
      </x:c>
      <x:c r="B55" s="114"/>
      <x:c r="C55" s="114"/>
      <x:c r="D55" s="114"/>
      <x:c r="E55" s="114"/>
      <x:c r="F55" s="114"/>
      <x:c r="G55" s="114"/>
      <x:c r="H55" s="1"/>
      <x:c r="I55" s="1"/>
      <x:c r="J55" s="1"/>
      <x:c r="K55" s="1"/>
      <x:c r="L55" s="1"/>
      <x:c r="M55" s="1"/>
      <x:c r="N55" s="1"/>
    </x:row>
    <x:row r="56">
      <x:c r="A56" s="114"/>
      <x:c r="B56" s="114"/>
      <x:c r="C56" s="114"/>
      <x:c r="D56" s="114"/>
      <x:c r="E56" s="114"/>
      <x:c r="F56" s="114"/>
      <x:c r="G56" s="114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15" t="str">
        <x:v>Key business insights</x:v>
      </x:c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"/>
      <x:c r="N71" s="1"/>
    </x:row>
    <x:row r="72" ht="26" customHeight="1">
      <x:c r="A72" s="90" t="str">
        <x:v>Import volume rose 7.98% in July while INR import value fell 6.15%; implied INR/tonne declined about 13.09%.</x:v>
      </x:c>
      <x:c r="B72" s="90"/>
      <x:c r="C72" s="90"/>
      <x:c r="D72" s="90"/>
      <x:c r="E72" s="90"/>
      <x:c r="F72" s="90"/>
      <x:c r="G72" s="90"/>
      <x:c r="H72" s="90"/>
      <x:c r="I72" s="90"/>
      <x:c r="J72" s="90"/>
      <x:c r="K72" s="90"/>
      <x:c r="L72" s="90"/>
      <x:c r="M72" s="1"/>
      <x:c r="N72" s="1"/>
    </x:row>
    <x:row r="73" ht="26" customHeight="1">
      <x:c r="A73" s="90" t="str">
        <x:v>Crude represented 90.07% of Apr–Jul import volume and 91.90% of Apr–Jul INR value.</x:v>
      </x:c>
      <x:c r="B73" s="90"/>
      <x:c r="C73" s="90"/>
      <x:c r="D73" s="90"/>
      <x:c r="E73" s="90"/>
      <x:c r="F73" s="90"/>
      <x:c r="G73" s="90"/>
      <x:c r="H73" s="90"/>
      <x:c r="I73" s="90"/>
      <x:c r="J73" s="90"/>
      <x:c r="K73" s="90"/>
      <x:c r="L73" s="90"/>
      <x:c r="M73" s="1"/>
      <x:c r="N73" s="1"/>
    </x:row>
    <x:row r="74" ht="26" customHeight="1">
      <x:c r="A74" s="90" t="str">
        <x:v>September–December baseline is a planning estimate; downside/upside are scenarios, not confidence limits.</x:v>
      </x:c>
      <x:c r="B74" s="90"/>
      <x:c r="C74" s="90"/>
      <x:c r="D74" s="90"/>
      <x:c r="E74" s="90"/>
      <x:c r="F74" s="90"/>
      <x:c r="G74" s="90"/>
      <x:c r="H74" s="90"/>
      <x:c r="I74" s="90"/>
      <x:c r="J74" s="90"/>
      <x:c r="K74" s="90"/>
      <x:c r="L74" s="90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16" t="str">
        <x:v>Source coverage: validated CSVs provide Apr–Jul monthly value/price and cumulative Apr–Jul product analysis. Aug volume/share and forecast assumptions come from the locked prior conversation specification. August INR/USD value and implied costs are unavailable and are not estimated.</x:v>
      </x:c>
      <x:c r="B76" s="116"/>
      <x:c r="C76" s="116"/>
      <x:c r="D76" s="116"/>
      <x:c r="E76" s="116"/>
      <x:c r="F76" s="116"/>
      <x:c r="G76" s="116"/>
      <x:c r="H76" s="116"/>
      <x:c r="I76" s="116"/>
      <x:c r="J76" s="116"/>
      <x:c r="K76" s="116"/>
      <x:c r="L76" s="116"/>
      <x:c r="M76" s="1"/>
      <x:c r="N76" s="1"/>
    </x:row>
    <x:row r="77">
      <x:c r="A77" s="116"/>
      <x:c r="B77" s="116"/>
      <x:c r="C77" s="116"/>
      <x:c r="D77" s="116"/>
      <x:c r="E77" s="116"/>
      <x:c r="F77" s="116"/>
      <x:c r="G77" s="116"/>
      <x:c r="H77" s="116"/>
      <x:c r="I77" s="116"/>
      <x:c r="J77" s="116"/>
      <x:c r="K77" s="116"/>
      <x:c r="L77" s="116"/>
      <x:c r="M77" s="1"/>
      <x:c r="N77" s="1"/>
    </x:row>
  </x:sheetData>
  <x:mergeCells>
    <x:mergeCell ref="A5:C5"/>
    <x:mergeCell ref="A6:C6"/>
    <x:mergeCell ref="A7:C7"/>
    <x:mergeCell ref="D5:F5"/>
    <x:mergeCell ref="D6:F6"/>
    <x:mergeCell ref="D7:F7"/>
    <x:mergeCell ref="G5:I5"/>
    <x:mergeCell ref="G6:I6"/>
    <x:mergeCell ref="G7:I7"/>
    <x:mergeCell ref="J5:L5"/>
    <x:mergeCell ref="J6:L6"/>
    <x:mergeCell ref="J7:L7"/>
    <x:mergeCell ref="A55:G56"/>
    <x:mergeCell ref="A71:L71"/>
    <x:mergeCell ref="A72:L72"/>
    <x:mergeCell ref="A73:L73"/>
    <x:mergeCell ref="A74:L74"/>
    <x:mergeCell ref="A76:L77"/>
  </x:mergeCells>
  <x:pageMargins left="0.7" right="0.7" top="0.75" bottom="0.75" header="0.3" footer="0.3"/>
  <x:drawing xmlns:r="http://schemas.openxmlformats.org/officeDocument/2006/relationships" r:id="R304c1be8be9d4596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.880000114440918" hidden="0" customWidth="1"/>
    <x:col min="2" max="2" width="9" hidden="0" customWidth="1"/>
    <x:col min="3" max="3" width="9.130000114440918" hidden="0" customWidth="1"/>
    <x:col min="4" max="4" width="21.25" hidden="0" customWidth="1"/>
    <x:col min="5" max="5" width="22" hidden="0" customWidth="1"/>
    <x:col min="6" max="6" width="23.3799991607666" hidden="0" customWidth="1"/>
    <x:col min="7" max="7" width="18.5" hidden="0" customWidth="1"/>
    <x:col min="8" max="8" width="19.8799991607666" hidden="0" customWidth="1"/>
    <x:col min="9" max="9" width="19" hidden="0" customWidth="1"/>
    <x:col min="10" max="10" width="20.25" hidden="0" customWidth="1"/>
    <x:col min="11" max="11" width="20.25" hidden="0" customWidth="1"/>
    <x:col min="12" max="12" width="16.3799991607666" hidden="0" customWidth="1"/>
    <x:col min="13" max="13" width="17.75" hidden="0" customWidth="1"/>
    <x:col min="14" max="14" width="56" hidden="0" customWidth="1"/>
    <x:col min="15" max="15" width="11.880000114440918" hidden="0" customWidth="1"/>
    <x:col min="16" max="16" width="15.25" hidden="0" customWidth="1"/>
    <x:col min="17" max="17" width="16.6299991607666" hidden="0" customWidth="1"/>
  </x:cols>
  <x:sheetData>
    <x:row r="1">
      <x:c r="A1" s="7" t="str">
        <x:v>Monthly KPIs | Actuals through August; volume outlook September–December</x:v>
      </x:c>
    </x:row>
    <x:row r="3" ht="38" customHeight="1">
      <x:c r="A3" s="10" t="str">
        <x:v>Month</x:v>
      </x:c>
      <x:c r="B3" s="10" t="str">
        <x:v>Month_Sort</x:v>
      </x:c>
      <x:c r="C3" s="10" t="str">
        <x:v>Period_Type</x:v>
      </x:c>
      <x:c r="D3" s="10" t="str">
        <x:v>Total_Import_Volume_000MT</x:v>
      </x:c>
      <x:c r="E3" s="10" t="str">
        <x:v>Crude_Import_Volume_000MT</x:v>
      </x:c>
      <x:c r="F3" s="10" t="str">
        <x:v>Product_Import_Volume_000MT</x:v>
      </x:c>
      <x:c r="G3" s="10" t="str">
        <x:v>Crude_Volume_Share_pct</x:v>
      </x:c>
      <x:c r="H3" s="10" t="str">
        <x:v>Product_Volume_Share_pct</x:v>
      </x:c>
      <x:c r="I3" s="10" t="str">
        <x:v>Total_Import_Value_Rs_Cr</x:v>
      </x:c>
      <x:c r="J3" s="10" t="str">
        <x:v>Total_Import_Value_USD_M</x:v>
      </x:c>
      <x:c r="K3" s="10" t="str">
        <x:v>Indian_Basket_USD_per_bbl</x:v>
      </x:c>
      <x:c r="L3" s="10" t="str">
        <x:v>Implied_Rs_per_Tonne</x:v>
      </x:c>
      <x:c r="M3" s="10" t="str">
        <x:v>Implied_USD_per_Tonne</x:v>
      </x:c>
      <x:c r="N3" s="10" t="str">
        <x:v>Data_Status</x:v>
      </x:c>
      <x:c r="O3" s="10" t="str">
        <x:v>Chart_Month</x:v>
      </x:c>
      <x:c r="P3" s="10" t="str">
        <x:v>Chart_Actual_000MT</x:v>
      </x:c>
      <x:c r="Q3" s="10" t="str">
        <x:v>Chart_Forecast_000MT</x:v>
      </x:c>
      <x:c r="R3" t="str">
        <x:v>Month</x:v>
      </x:c>
      <x:c r="S3" t="str">
        <x:v>Crude</x:v>
      </x:c>
      <x:c r="T3" t="str">
        <x:v>Petroleum Products</x:v>
      </x:c>
    </x:row>
    <x:row r="4">
      <x:c r="A4" s="1" t="str">
        <x:v>April-2026</x:v>
      </x:c>
      <x:c r="B4" s="1" t="n">
        <x:v>4</x:v>
      </x:c>
      <x:c r="C4" s="1" t="str">
        <x:v>Actual</x:v>
      </x:c>
      <x:c r="D4" s="20" t="n">
        <x:f>'Src_Monthly'!C2</x:f>
        <x:v>20198.106995000002</x:v>
      </x:c>
      <x:c r="E4" s="20" t="n">
        <x:f>'Src_Monthly'!D2</x:f>
        <x:v>18468.056066</x:v>
      </x:c>
      <x:c r="F4" s="20" t="n">
        <x:f>'Src_Monthly'!E2</x:f>
        <x:v>1730.050929000001</x:v>
      </x:c>
      <x:c r="G4" s="21" t="n">
        <x:f>'Src_Monthly'!L2/100</x:f>
        <x:v>0.9143458874919184</x:v>
      </x:c>
      <x:c r="H4" s="21" t="n">
        <x:f>'Src_Monthly'!M2/100</x:f>
        <x:v>0.08565411250808165</x:v>
      </x:c>
      <x:c r="I4" s="20" t="n">
        <x:f>'Src_Monthly'!F2</x:f>
        <x:v>156330.74293199996</x:v>
      </x:c>
      <x:c r="J4" s="20" t="n">
        <x:f>'Src_Monthly'!I2</x:f>
        <x:v>16634.916040999997</x:v>
      </x:c>
      <x:c r="K4" s="22" t="n">
        <x:f>'Src_Monthly'!V2</x:f>
        <x:v>114.476433</x:v>
      </x:c>
      <x:c r="L4" s="20" t="n">
        <x:f>'Src_Monthly'!Q2</x:f>
        <x:v>77398.71017155188</x:v>
      </x:c>
      <x:c r="M4" s="20" t="n">
        <x:f>'Src_Monthly'!R2</x:f>
        <x:v>823.5878760874936</x:v>
      </x:c>
      <x:c r="N4" s="1" t="str">
        <x:v>Validated CSV actual</x:v>
      </x:c>
      <x:c r="O4" s="1" t="str">
        <x:f>A4</x:f>
        <x:v>April-2026</x:v>
      </x:c>
      <x:c r="P4" s="23" t="n">
        <x:f>IF(C4="Actual",D4,NA())</x:f>
        <x:v>20198.106995000002</x:v>
      </x:c>
      <x:c r="Q4" s="23" t="e">
        <x:f>IF(C4="Forecast",D4,NA())</x:f>
        <x:v>#N/A</x:v>
      </x:c>
      <x:c r="R4" t="str">
        <x:v>April-2026</x:v>
      </x:c>
      <x:c r="S4" s="24" t="n">
        <x:f>G4</x:f>
        <x:v>0.9143458874919184</x:v>
      </x:c>
      <x:c r="T4" s="24" t="n">
        <x:f>H4</x:f>
        <x:v>0.08565411250808165</x:v>
      </x:c>
    </x:row>
    <x:row r="5">
      <x:c r="A5" s="1" t="str">
        <x:v>May-2026</x:v>
      </x:c>
      <x:c r="B5" s="1" t="n">
        <x:v>5</x:v>
      </x:c>
      <x:c r="C5" s="1" t="str">
        <x:v>Actual</x:v>
      </x:c>
      <x:c r="D5" s="20" t="n">
        <x:f>'Src_Monthly'!C3</x:f>
        <x:v>24612.310587000004</x:v>
      </x:c>
      <x:c r="E5" s="20" t="n">
        <x:f>'Src_Monthly'!D3</x:f>
        <x:v>22421.028278</x:v>
      </x:c>
      <x:c r="F5" s="20" t="n">
        <x:f>'Src_Monthly'!E3</x:f>
        <x:v>2191.282309000002</x:v>
      </x:c>
      <x:c r="G5" s="21" t="n">
        <x:f>'Src_Monthly'!L3/100</x:f>
        <x:v>0.9109680376714644</x:v>
      </x:c>
      <x:c r="H5" s="21" t="n">
        <x:f>'Src_Monthly'!M3/100</x:f>
        <x:v>0.0890319623285356</x:v>
      </x:c>
      <x:c r="I5" s="20" t="n">
        <x:f>'Src_Monthly'!F3</x:f>
        <x:v>194330.186174</x:v>
      </x:c>
      <x:c r="J5" s="20" t="n">
        <x:f>'Src_Monthly'!I3</x:f>
        <x:v>21196.141556000002</x:v>
      </x:c>
      <x:c r="K5" s="22" t="n">
        <x:f>'Src_Monthly'!V3</x:f>
        <x:v>106.227559</x:v>
      </x:c>
      <x:c r="L5" s="20" t="n">
        <x:f>'Src_Monthly'!Q3</x:f>
        <x:v>78956.49841045133</x:v>
      </x:c>
      <x:c r="M5" s="20" t="n">
        <x:f>'Src_Monthly'!R3</x:f>
        <x:v>861.2007995379195</x:v>
      </x:c>
      <x:c r="N5" s="1" t="str">
        <x:v>Validated CSV actual</x:v>
      </x:c>
      <x:c r="O5" s="1" t="str">
        <x:f>A5</x:f>
        <x:v>May-2026</x:v>
      </x:c>
      <x:c r="P5" s="23" t="n">
        <x:f>IF(C5="Actual",D5,NA())</x:f>
        <x:v>24612.310587000004</x:v>
      </x:c>
      <x:c r="Q5" s="23" t="e">
        <x:f>IF(C5="Forecast",D5,NA())</x:f>
        <x:v>#N/A</x:v>
      </x:c>
      <x:c r="R5" t="str">
        <x:v>May-2026</x:v>
      </x:c>
      <x:c r="S5" s="24" t="n">
        <x:f>G5</x:f>
        <x:v>0.9109680376714644</x:v>
      </x:c>
      <x:c r="T5" s="24" t="n">
        <x:f>H5</x:f>
        <x:v>0.0890319623285356</x:v>
      </x:c>
    </x:row>
    <x:row r="6">
      <x:c r="A6" s="1" t="str">
        <x:v>June-2026</x:v>
      </x:c>
      <x:c r="B6" s="1" t="n">
        <x:v>6</x:v>
      </x:c>
      <x:c r="C6" s="1" t="str">
        <x:v>Actual</x:v>
      </x:c>
      <x:c r="D6" s="20" t="n">
        <x:f>'Src_Monthly'!C4</x:f>
        <x:v>22168.692407</x:v>
      </x:c>
      <x:c r="E6" s="20" t="n">
        <x:f>'Src_Monthly'!D4</x:f>
        <x:v>19592.33224</x:v>
      </x:c>
      <x:c r="F6" s="20" t="n">
        <x:f>'Src_Monthly'!E4</x:f>
        <x:v>2576.360166999999</x:v>
      </x:c>
      <x:c r="G6" s="21" t="n">
        <x:f>'Src_Monthly'!L4/100</x:f>
        <x:v>0.8837838461691819</x:v>
      </x:c>
      <x:c r="H6" s="21" t="n">
        <x:f>'Src_Monthly'!M4/100</x:f>
        <x:v>0.116216153830818</x:v>
      </x:c>
      <x:c r="I6" s="20" t="n">
        <x:f>'Src_Monthly'!F4</x:f>
        <x:v>152612.14989200002</x:v>
      </x:c>
      <x:c r="J6" s="20" t="n">
        <x:f>'Src_Monthly'!I4</x:f>
        <x:v>16084.755151999998</x:v>
      </x:c>
      <x:c r="K6" s="22" t="n">
        <x:f>'Src_Monthly'!V4</x:f>
        <x:v>83.222497</x:v>
      </x:c>
      <x:c r="L6" s="20" t="n">
        <x:f>'Src_Monthly'!Q4</x:f>
        <x:v>68841.29523300666</x:v>
      </x:c>
      <x:c r="M6" s="20" t="n">
        <x:f>'Src_Monthly'!R4</x:f>
        <x:v>725.5617452169198</x:v>
      </x:c>
      <x:c r="N6" s="1" t="str">
        <x:v>Validated CSV actual</x:v>
      </x:c>
      <x:c r="O6" s="1" t="str">
        <x:f>A6</x:f>
        <x:v>June-2026</x:v>
      </x:c>
      <x:c r="P6" s="23" t="n">
        <x:f>IF(C6="Actual",D6,NA())</x:f>
        <x:v>22168.692407</x:v>
      </x:c>
      <x:c r="Q6" s="23" t="e">
        <x:f>IF(C6="Forecast",D6,NA())</x:f>
        <x:v>#N/A</x:v>
      </x:c>
      <x:c r="R6" t="str">
        <x:v>June-2026</x:v>
      </x:c>
      <x:c r="S6" s="24" t="n">
        <x:f>G6</x:f>
        <x:v>0.8837838461691819</x:v>
      </x:c>
      <x:c r="T6" s="24" t="n">
        <x:f>H6</x:f>
        <x:v>0.116216153830818</x:v>
      </x:c>
    </x:row>
    <x:row r="7">
      <x:c r="A7" s="1" t="str">
        <x:v>July-2026</x:v>
      </x:c>
      <x:c r="B7" s="1" t="n">
        <x:v>7</x:v>
      </x:c>
      <x:c r="C7" s="1" t="str">
        <x:v>Actual</x:v>
      </x:c>
      <x:c r="D7" s="20" t="n">
        <x:f>'Src_Monthly'!C5</x:f>
        <x:v>23937.679030000003</x:v>
      </x:c>
      <x:c r="E7" s="20" t="n">
        <x:f>'Src_Monthly'!D5</x:f>
        <x:v>21404.625918</x:v>
      </x:c>
      <x:c r="F7" s="20" t="n">
        <x:f>'Src_Monthly'!E5</x:f>
        <x:v>2533.0531120000014</x:v>
      </x:c>
      <x:c r="G7" s="21" t="n">
        <x:f>'Src_Monthly'!L5/100</x:f>
        <x:v>0.8941813402700638</x:v>
      </x:c>
      <x:c r="H7" s="21" t="n">
        <x:f>'Src_Monthly'!M5/100</x:f>
        <x:v>0.10581865972993627</x:v>
      </x:c>
      <x:c r="I7" s="20" t="n">
        <x:f>'Src_Monthly'!F5</x:f>
        <x:v>143230.91395200003</x:v>
      </x:c>
      <x:c r="J7" s="20" t="n">
        <x:f>'Src_Monthly'!I5</x:f>
        <x:v>15043.473315000001</x:v>
      </x:c>
      <x:c r="K7" s="22" t="n">
        <x:f>'Src_Monthly'!V5</x:f>
        <x:v>82.037861</x:v>
      </x:c>
      <x:c r="L7" s="20" t="n">
        <x:f>'Src_Monthly'!Q5</x:f>
        <x:v>59834.92124382453</x:v>
      </x:c>
      <x:c r="M7" s="20" t="n">
        <x:f>'Src_Monthly'!R5</x:f>
        <x:v>628.4432712188471</x:v>
      </x:c>
      <x:c r="N7" s="1" t="str">
        <x:v>Validated CSV actual</x:v>
      </x:c>
      <x:c r="O7" s="1" t="str">
        <x:f>A7</x:f>
        <x:v>July-2026</x:v>
      </x:c>
      <x:c r="P7" s="23" t="n">
        <x:f>IF(C7="Actual",D7,NA())</x:f>
        <x:v>23937.679030000003</x:v>
      </x:c>
      <x:c r="Q7" s="23" t="e">
        <x:f>IF(C7="Forecast",D7,NA())</x:f>
        <x:v>#N/A</x:v>
      </x:c>
      <x:c r="R7" t="str">
        <x:v>July-2026</x:v>
      </x:c>
      <x:c r="S7" s="24" t="n">
        <x:f>G7</x:f>
        <x:v>0.8941813402700638</x:v>
      </x:c>
      <x:c r="T7" s="24" t="n">
        <x:f>H7</x:f>
        <x:v>0.10581865972993627</x:v>
      </x:c>
    </x:row>
    <x:row r="8">
      <x:c r="A8" s="1" t="str">
        <x:v>August-2026</x:v>
      </x:c>
      <x:c r="B8" s="1" t="n">
        <x:v>8</x:v>
      </x:c>
      <x:c r="C8" s="1" t="str">
        <x:v>Actual</x:v>
      </x:c>
      <x:c r="D8" s="20" t="n">
        <x:f>Assumptions!B4</x:f>
        <x:v>21733</x:v>
      </x:c>
      <x:c r="E8" s="20" t="n">
        <x:f>D8*G8</x:f>
        <x:v>19014.2017</x:v>
      </x:c>
      <x:c r="F8" s="20" t="n">
        <x:f>D8-E8</x:f>
        <x:v>2718.7982999999986</x:v>
      </x:c>
      <x:c r="G8" s="21" t="n">
        <x:f>Assumptions!B5</x:f>
        <x:v>0.8749</x:v>
      </x:c>
      <x:c r="H8" s="21" t="n">
        <x:f>1-G8</x:f>
        <x:v>0.1251</x:v>
      </x:c>
      <x:c r="I8" s="20"/>
      <x:c r="J8" s="20"/>
      <x:c r="K8" s="22"/>
      <x:c r="L8" s="20"/>
      <x:c r="M8" s="20"/>
      <x:c r="N8" s="1" t="str">
        <x:v>August monetary values unavailable in validated CSV; intentionally blank</x:v>
      </x:c>
      <x:c r="O8" s="1" t="str">
        <x:f>A8</x:f>
        <x:v>August-2026</x:v>
      </x:c>
      <x:c r="P8" s="23" t="n">
        <x:f>IF(C8="Actual",D8,NA())</x:f>
        <x:v>21733</x:v>
      </x:c>
      <x:c r="Q8" s="23" t="e">
        <x:f>IF(C8="Forecast",D8,NA())</x:f>
        <x:v>#N/A</x:v>
      </x:c>
      <x:c r="R8" t="str">
        <x:v>August-2026</x:v>
      </x:c>
      <x:c r="S8" s="24" t="n">
        <x:f>G8</x:f>
        <x:v>0.8749</x:v>
      </x:c>
      <x:c r="T8" s="24" t="n">
        <x:f>H8</x:f>
        <x:v>0.1251</x:v>
      </x:c>
    </x:row>
    <x:row r="9">
      <x:c r="A9" s="1" t="str">
        <x:v>September-2026</x:v>
      </x:c>
      <x:c r="B9" s="1" t="n">
        <x:v>9</x:v>
      </x:c>
      <x:c r="C9" s="1" t="str">
        <x:v>Forecast</x:v>
      </x:c>
      <x:c r="D9" s="20" t="n">
        <x:f>Forecast!C4</x:f>
        <x:v>22835.339515</x:v>
      </x:c>
      <x:c r="E9" s="20"/>
      <x:c r="F9" s="20"/>
      <x:c r="G9" s="21"/>
      <x:c r="H9" s="21"/>
      <x:c r="I9" s="20"/>
      <x:c r="J9" s="20"/>
      <x:c r="K9" s="22"/>
      <x:c r="L9" s="20"/>
      <x:c r="M9" s="20"/>
      <x:c r="N9" s="1" t="str">
        <x:v>Forecast volume only; no value forecast</x:v>
      </x:c>
      <x:c r="O9" s="1" t="str">
        <x:f>A9</x:f>
        <x:v>September-2026</x:v>
      </x:c>
      <x:c r="P9" s="23" t="e">
        <x:f>IF(C9="Actual",D9,NA())</x:f>
        <x:v>#N/A</x:v>
      </x:c>
      <x:c r="Q9" s="23" t="n">
        <x:f>IF(C9="Forecast",D9,NA())</x:f>
        <x:v>22835.339515</x:v>
      </x:c>
    </x:row>
    <x:row r="10">
      <x:c r="A10" s="1" t="str">
        <x:v>October-2026</x:v>
      </x:c>
      <x:c r="B10" s="1" t="n">
        <x:v>10</x:v>
      </x:c>
      <x:c r="C10" s="1" t="str">
        <x:v>Forecast</x:v>
      </x:c>
      <x:c r="D10" s="20" t="n">
        <x:f>Forecast!C5</x:f>
        <x:v>22284.1697575</x:v>
      </x:c>
      <x:c r="E10" s="20"/>
      <x:c r="F10" s="20"/>
      <x:c r="G10" s="21"/>
      <x:c r="H10" s="21"/>
      <x:c r="I10" s="20"/>
      <x:c r="J10" s="20"/>
      <x:c r="K10" s="22"/>
      <x:c r="L10" s="20"/>
      <x:c r="M10" s="20"/>
      <x:c r="N10" s="1" t="str">
        <x:v>Forecast volume only; no value forecast</x:v>
      </x:c>
      <x:c r="O10" s="1" t="str">
        <x:f>A10</x:f>
        <x:v>October-2026</x:v>
      </x:c>
      <x:c r="P10" s="23" t="e">
        <x:f>IF(C10="Actual",D10,NA())</x:f>
        <x:v>#N/A</x:v>
      </x:c>
      <x:c r="Q10" s="23" t="n">
        <x:f>IF(C10="Forecast",D10,NA())</x:f>
        <x:v>22284.1697575</x:v>
      </x:c>
    </x:row>
    <x:row r="11">
      <x:c r="A11" s="1" t="str">
        <x:v>November-2026</x:v>
      </x:c>
      <x:c r="B11" s="1" t="n">
        <x:v>11</x:v>
      </x:c>
      <x:c r="C11" s="1" t="str">
        <x:v>Forecast</x:v>
      </x:c>
      <x:c r="D11" s="20" t="n">
        <x:f>Forecast!C6</x:f>
        <x:v>22559.75463625</x:v>
      </x:c>
      <x:c r="E11" s="20"/>
      <x:c r="F11" s="20"/>
      <x:c r="G11" s="21"/>
      <x:c r="H11" s="21"/>
      <x:c r="I11" s="20"/>
      <x:c r="J11" s="20"/>
      <x:c r="K11" s="22"/>
      <x:c r="L11" s="20"/>
      <x:c r="M11" s="20"/>
      <x:c r="N11" s="1" t="str">
        <x:v>Forecast volume only; no value forecast</x:v>
      </x:c>
      <x:c r="O11" s="1" t="str">
        <x:f>A11</x:f>
        <x:v>November-2026</x:v>
      </x:c>
      <x:c r="P11" s="23" t="e">
        <x:f>IF(C11="Actual",D11,NA())</x:f>
        <x:v>#N/A</x:v>
      </x:c>
      <x:c r="Q11" s="23" t="n">
        <x:f>IF(C11="Forecast",D11,NA())</x:f>
        <x:v>22559.75463625</x:v>
      </x:c>
    </x:row>
    <x:row r="12">
      <x:c r="A12" s="1" t="str">
        <x:v>December-2026</x:v>
      </x:c>
      <x:c r="B12" s="1" t="n">
        <x:v>12</x:v>
      </x:c>
      <x:c r="C12" s="1" t="str">
        <x:v>Forecast</x:v>
      </x:c>
      <x:c r="D12" s="20" t="n">
        <x:f>Forecast!C7</x:f>
        <x:v>22421.962196875</x:v>
      </x:c>
      <x:c r="E12" s="20"/>
      <x:c r="F12" s="20"/>
      <x:c r="G12" s="21"/>
      <x:c r="H12" s="21"/>
      <x:c r="I12" s="20"/>
      <x:c r="J12" s="20"/>
      <x:c r="K12" s="22"/>
      <x:c r="L12" s="20"/>
      <x:c r="M12" s="20"/>
      <x:c r="N12" s="1" t="str">
        <x:v>Forecast volume only; no value forecast</x:v>
      </x:c>
      <x:c r="O12" s="1" t="str">
        <x:f>A12</x:f>
        <x:v>December-2026</x:v>
      </x:c>
      <x:c r="P12" s="23" t="e">
        <x:f>IF(C12="Actual",D12,NA())</x:f>
        <x:v>#N/A</x:v>
      </x:c>
      <x:c r="Q12" s="23" t="n">
        <x:f>IF(C12="Forecast",D12,NA())</x:f>
        <x:v>22421.962196875</x:v>
      </x:c>
    </x:row>
  </x:sheetData>
  <x:pageMargins left="0.7" right="0.7" top="0.75" bottom="0.75" header="0.3" footer="0.3"/>
  <x:tableParts count="1">
    <x:tablePart xmlns:r="http://schemas.openxmlformats.org/officeDocument/2006/relationships" r:id="Rf1609a936b2a4e26"/>
  </x:tableParts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13.5" hidden="0" customWidth="1"/>
    <x:col min="2" max="2" width="19.1299991607666" hidden="0" customWidth="1"/>
    <x:col min="3" max="3" width="74" hidden="0" customWidth="1"/>
    <x:col min="4" max="4" width="11.630000114440918" hidden="0" customWidth="1"/>
    <x:col min="6" max="6" width="14.380000114440918" hidden="0" customWidth="1"/>
    <x:col min="7" max="7" width="19.25" hidden="0" customWidth="1"/>
    <x:col min="8" max="8" width="20.6299991607666" hidden="0" customWidth="1"/>
    <x:col min="9" max="9" width="8.75" hidden="0" customWidth="1"/>
  </x:cols>
  <x:sheetData>
    <x:row r="1">
      <x:c r="A1" s="7" t="str">
        <x:v>Volume Forecast &amp; August Back-test</x:v>
      </x:c>
    </x:row>
    <x:row r="3">
      <x:c r="A3" s="10" t="str">
        <x:v>Month</x:v>
      </x:c>
      <x:c r="B3" s="10" t="str">
        <x:v>Method</x:v>
      </x:c>
      <x:c r="C3" s="10" t="str">
        <x:v>Baseline_Volume_000MT</x:v>
      </x:c>
      <x:c r="D3" s="10" t="str">
        <x:v>Period_Type</x:v>
      </x:c>
      <x:c r="F3" s="10" t="str">
        <x:v>Back-test month</x:v>
      </x:c>
      <x:c r="G3" s="10" t="str">
        <x:v>Actual_Volume_000MT</x:v>
      </x:c>
      <x:c r="H3" s="10" t="str">
        <x:v>Forecast_Volume_000MT</x:v>
      </x:c>
      <x:c r="I3" s="10" t="str">
        <x:v>APE_pct</x:v>
      </x:c>
    </x:row>
    <x:row r="4">
      <x:c r="A4" t="str">
        <x:v>September-2026</x:v>
      </x:c>
      <x:c r="B4" t="str">
        <x:v>2-month moving average</x:v>
      </x:c>
      <x:c r="C4" s="25" t="n">
        <x:f>AVERAGE(Monthly_KPIs!D7:D8)</x:f>
        <x:v>22835.339515</x:v>
      </x:c>
      <x:c r="D4" t="str">
        <x:v>Forecast</x:v>
      </x:c>
      <x:c r="F4" t="str">
        <x:v>August-2026</x:v>
      </x:c>
      <x:c r="G4" s="25" t="n">
        <x:f>Monthly_KPIs!D8</x:f>
        <x:v>21733</x:v>
      </x:c>
      <x:c r="H4" s="25" t="n">
        <x:f>AVERAGE(Monthly_KPIs!D6:D7)</x:f>
        <x:v>23053.1857185</x:v>
      </x:c>
      <x:c r="I4" s="26" t="n">
        <x:f>ABS(H4-G4)/G4</x:f>
        <x:v>0.060745673330879345</x:v>
      </x:c>
    </x:row>
    <x:row r="5">
      <x:c r="A5" t="str">
        <x:v>October-2026</x:v>
      </x:c>
      <x:c r="B5" t="str">
        <x:v>2-month moving average</x:v>
      </x:c>
      <x:c r="C5" s="25" t="n">
        <x:f>AVERAGE(Monthly_KPIs!D8,C4)</x:f>
        <x:v>22284.1697575</x:v>
      </x:c>
      <x:c r="D5" t="str">
        <x:v>Forecast</x:v>
      </x:c>
    </x:row>
    <x:row r="6">
      <x:c r="A6" t="str">
        <x:v>November-2026</x:v>
      </x:c>
      <x:c r="B6" t="str">
        <x:v>2-month moving average</x:v>
      </x:c>
      <x:c r="C6" s="25" t="n">
        <x:f>AVERAGE(C4:C5)</x:f>
        <x:v>22559.75463625</x:v>
      </x:c>
      <x:c r="D6" t="str">
        <x:v>Forecast</x:v>
      </x:c>
    </x:row>
    <x:row r="7">
      <x:c r="A7" t="str">
        <x:v>December-2026</x:v>
      </x:c>
      <x:c r="B7" t="str">
        <x:v>2-month moving average</x:v>
      </x:c>
      <x:c r="C7" s="25" t="n">
        <x:f>AVERAGE(C5:C6)</x:f>
        <x:v>22421.962196875</x:v>
      </x:c>
      <x:c r="D7" t="str">
        <x:v>Forecast</x:v>
      </x:c>
    </x:row>
    <x:row r="10">
      <x:c r="A10" s="28" t="str">
        <x:v>Methodology note</x:v>
      </x:c>
      <x:c r="B10" s="27" t="str">
        <x:v>2-month moving average</x:v>
      </x:c>
      <x:c r="C10" s="27" t="str">
        <x:v>Each forecast uses the immediately preceding two months; forecast months roll forward recursively.</x:v>
      </x:c>
    </x:row>
    <x:row r="11">
      <x:c r="A11" s="28" t="str">
        <x:v>Back-test</x:v>
      </x:c>
      <x:c r="B11" s="27" t="str">
        <x:v>August one-step ahead</x:v>
      </x:c>
      <x:c r="C11" s="27" t="str">
        <x:v>Forecast uses June and July actuals; APE = absolute forecast error / actual volume.</x:v>
      </x:c>
    </x:row>
    <x:row r="12">
      <x:c r="A12" s="28" t="str">
        <x:v>Units</x:v>
      </x:c>
      <x:c r="B12" s="27" t="str">
        <x:v>'000 MT</x:v>
      </x:c>
      <x:c r="C12" s="27" t="str">
        <x:v>Dashboard converts volume display to M MT where appropriate; source/build schedules retain 000 MT.</x:v>
      </x:c>
    </x:row>
  </x:sheetData>
  <x:pageMargins left="0.7" right="0.7" top="0.75" bottom="0.75" header="0.3" footer="0.3"/>
  <x:tableParts count="2">
    <x:tablePart xmlns:r="http://schemas.openxmlformats.org/officeDocument/2006/relationships" r:id="R57ad1665be67479f"/>
    <x:tablePart xmlns:r="http://schemas.openxmlformats.org/officeDocument/2006/relationships" r:id="Ree238a678b594600"/>
  </x:tableParts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48.380001068115234" hidden="0" customWidth="1"/>
    <x:col min="2" max="2" width="18.8799991607666" hidden="0" customWidth="1"/>
    <x:col min="3" max="3" width="36" hidden="0" customWidth="1"/>
    <x:col min="4" max="4" width="14.5" hidden="0" customWidth="1"/>
    <x:col min="5" max="5" width="13.5" hidden="0" customWidth="1"/>
  </x:cols>
  <x:sheetData>
    <x:row r="1">
      <x:c r="A1" s="7" t="str">
        <x:v>September–December 2026 Volume Scenarios</x:v>
      </x:c>
    </x:row>
    <x:row r="3">
      <x:c r="A3" s="10" t="str">
        <x:v>Month</x:v>
      </x:c>
      <x:c r="B3" s="10" t="str">
        <x:v>Downside_Adjustment</x:v>
      </x:c>
      <x:c r="C3" s="10" t="str">
        <x:v>Downside_000MT</x:v>
      </x:c>
      <x:c r="D3" s="10" t="str">
        <x:v>Baseline_000MT</x:v>
      </x:c>
      <x:c r="E3" s="10" t="str">
        <x:v>Upside_000MT</x:v>
      </x:c>
      <x:c r="G3" t="str">
        <x:v>Month</x:v>
      </x:c>
      <x:c r="H3" t="str">
        <x:v>Downside</x:v>
      </x:c>
      <x:c r="I3" t="str">
        <x:v>Baseline</x:v>
      </x:c>
      <x:c r="J3" t="str">
        <x:v>Upside</x:v>
      </x:c>
    </x:row>
    <x:row r="4">
      <x:c r="A4" t="str">
        <x:v>September-2026</x:v>
      </x:c>
      <x:c r="B4" s="26" t="n">
        <x:f>Assumptions!$B$6</x:f>
        <x:v>-0.0957</x:v>
      </x:c>
      <x:c r="C4" s="25" t="n">
        <x:f>D4*(1+B4)</x:f>
        <x:v>20649.9975234145</x:v>
      </x:c>
      <x:c r="D4" s="25" t="n">
        <x:f>Forecast!C4</x:f>
        <x:v>22835.339515</x:v>
      </x:c>
      <x:c r="E4" s="25" t="n">
        <x:f>D4*(1+Assumptions!$B$7)</x:f>
        <x:v>26242.372170638</x:v>
      </x:c>
      <x:c r="G4" t="str">
        <x:v>September-2026</x:v>
      </x:c>
      <x:c r="H4" s="39" t="n">
        <x:f>C4</x:f>
        <x:v>20649.9975234145</x:v>
      </x:c>
      <x:c r="I4" s="39" t="n">
        <x:f>D4</x:f>
        <x:v>22835.339515</x:v>
      </x:c>
      <x:c r="J4" s="39" t="n">
        <x:f>E4</x:f>
        <x:v>26242.372170638</x:v>
      </x:c>
    </x:row>
    <x:row r="5">
      <x:c r="A5" t="str">
        <x:v>October-2026</x:v>
      </x:c>
      <x:c r="B5" s="26" t="n">
        <x:f>Assumptions!$B$6</x:f>
        <x:v>-0.0957</x:v>
      </x:c>
      <x:c r="C5" s="25" t="n">
        <x:f>D5*(1+B5)</x:f>
        <x:v>20151.57471170725</x:v>
      </x:c>
      <x:c r="D5" s="25" t="n">
        <x:f>Forecast!C5</x:f>
        <x:v>22284.1697575</x:v>
      </x:c>
      <x:c r="E5" s="25" t="n">
        <x:f>D5*(1+Assumptions!$B$7)</x:f>
        <x:v>25608.967885318998</x:v>
      </x:c>
      <x:c r="G5" t="str">
        <x:v>October-2026</x:v>
      </x:c>
      <x:c r="H5" s="39" t="n">
        <x:f>C5</x:f>
        <x:v>20151.57471170725</x:v>
      </x:c>
      <x:c r="I5" s="39" t="n">
        <x:f>D5</x:f>
        <x:v>22284.1697575</x:v>
      </x:c>
      <x:c r="J5" s="39" t="n">
        <x:f>E5</x:f>
        <x:v>25608.967885318998</x:v>
      </x:c>
    </x:row>
    <x:row r="6">
      <x:c r="A6" t="str">
        <x:v>November-2026</x:v>
      </x:c>
      <x:c r="B6" s="26" t="n">
        <x:f>Assumptions!$B$6</x:f>
        <x:v>-0.0957</x:v>
      </x:c>
      <x:c r="C6" s="25" t="n">
        <x:f>D6*(1+B6)</x:f>
        <x:v>20400.786117560874</x:v>
      </x:c>
      <x:c r="D6" s="25" t="n">
        <x:f>Forecast!C6</x:f>
        <x:v>22559.75463625</x:v>
      </x:c>
      <x:c r="E6" s="25" t="n">
        <x:f>D6*(1+Assumptions!$B$7)</x:f>
        <x:v>25925.6700279785</x:v>
      </x:c>
      <x:c r="G6" t="str">
        <x:v>November-2026</x:v>
      </x:c>
      <x:c r="H6" s="39" t="n">
        <x:f>C6</x:f>
        <x:v>20400.786117560874</x:v>
      </x:c>
      <x:c r="I6" s="39" t="n">
        <x:f>D6</x:f>
        <x:v>22559.75463625</x:v>
      </x:c>
      <x:c r="J6" s="39" t="n">
        <x:f>E6</x:f>
        <x:v>25925.6700279785</x:v>
      </x:c>
    </x:row>
    <x:row r="7">
      <x:c r="A7" t="str">
        <x:v>December-2026</x:v>
      </x:c>
      <x:c r="B7" s="26" t="n">
        <x:f>Assumptions!$B$6</x:f>
        <x:v>-0.0957</x:v>
      </x:c>
      <x:c r="C7" s="25" t="n">
        <x:f>D7*(1+B7)</x:f>
        <x:v>20276.180414634062</x:v>
      </x:c>
      <x:c r="D7" s="25" t="n">
        <x:f>Forecast!C7</x:f>
        <x:v>22421.962196875</x:v>
      </x:c>
      <x:c r="E7" s="25" t="n">
        <x:f>D7*(1+Assumptions!$B$7)</x:f>
        <x:v>25767.31895664875</x:v>
      </x:c>
      <x:c r="G7" t="str">
        <x:v>December-2026</x:v>
      </x:c>
      <x:c r="H7" s="39" t="n">
        <x:f>C7</x:f>
        <x:v>20276.180414634062</x:v>
      </x:c>
      <x:c r="I7" s="39" t="n">
        <x:f>D7</x:f>
        <x:v>22421.962196875</x:v>
      </x:c>
      <x:c r="J7" s="39" t="n">
        <x:f>E7</x:f>
        <x:v>25767.31895664875</x:v>
      </x:c>
    </x:row>
    <x:row r="8">
      <x:c r="C8" s="25"/>
      <x:c r="D8" s="25"/>
      <x:c r="E8" s="25"/>
    </x:row>
    <x:row r="9">
      <x:c r="A9" s="34" t="str">
        <x:v>Sep–Dec Total</x:v>
      </x:c>
      <x:c r="B9" s="34"/>
      <x:c r="C9" s="35" t="n">
        <x:f>SUM(C4:C7)</x:f>
        <x:v>81478.53876731668</x:v>
      </x:c>
      <x:c r="D9" s="35" t="n">
        <x:f>SUM(D4:D7)</x:f>
        <x:v>90101.226105625</x:v>
      </x:c>
      <x:c r="E9" s="35" t="n">
        <x:f>SUM(E4:E7)</x:f>
        <x:v>103544.32904058424</x:v>
      </x:c>
    </x:row>
    <x:row r="11">
      <x:c r="A11" s="10" t="str">
        <x:v>Scenario summary</x:v>
      </x:c>
      <x:c r="B11" s="10" t="str">
        <x:v>Volume (M MT)</x:v>
      </x:c>
      <x:c r="C11" s="10" t="str">
        <x:v>Definition</x:v>
      </x:c>
    </x:row>
    <x:row r="12">
      <x:c r="A12" t="str">
        <x:v>Downside</x:v>
      </x:c>
      <x:c r="B12" s="29" t="n">
        <x:f>C9/1000</x:f>
        <x:v>81.47853876731668</x:v>
      </x:c>
      <x:c r="C12" t="str">
        <x:v>Baseline less 9.57%</x:v>
      </x:c>
    </x:row>
    <x:row r="13">
      <x:c r="A13" t="str">
        <x:v>Baseline</x:v>
      </x:c>
      <x:c r="B13" s="29" t="n">
        <x:f>D9/1000</x:f>
        <x:v>90.101226105625</x:v>
      </x:c>
      <x:c r="C13" t="str">
        <x:v>Recursive 2-month moving average</x:v>
      </x:c>
    </x:row>
    <x:row r="14">
      <x:c r="A14" t="str">
        <x:v>Upside</x:v>
      </x:c>
      <x:c r="B14" s="29" t="n">
        <x:f>E9/1000</x:f>
        <x:v>103.54432904058424</x:v>
      </x:c>
      <x:c r="C14" t="str">
        <x:v>Baseline plus 14.92%</x:v>
      </x:c>
    </x:row>
    <x:row r="16">
      <x:c r="A16" s="38" t="str">
        <x:v>Planning range is a scenario range, not a statistical confidence interval.</x:v>
      </x:c>
      <x:c r="B16" s="38"/>
      <x:c r="C16" s="38"/>
      <x:c r="D16" s="38"/>
      <x:c r="E16" s="38"/>
    </x:row>
    <x:row r="17">
      <x:c r="A17" s="38"/>
      <x:c r="B17" s="38"/>
      <x:c r="C17" s="38"/>
      <x:c r="D17" s="38"/>
      <x:c r="E17" s="38"/>
    </x:row>
  </x:sheetData>
  <x:mergeCells>
    <x:mergeCell ref="A16:E17"/>
  </x:mergeCells>
  <x:pageMargins left="0.7" right="0.7" top="0.75" bottom="0.75" header="0.3" footer="0.3"/>
  <x:tableParts count="2">
    <x:tablePart xmlns:r="http://schemas.openxmlformats.org/officeDocument/2006/relationships" r:id="R8fc498f964ee4bb9"/>
    <x:tablePart xmlns:r="http://schemas.openxmlformats.org/officeDocument/2006/relationships" r:id="R300cfa3788a446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4.630000114440918" hidden="0" customWidth="1"/>
    <x:col min="3" max="3" width="20" hidden="0" customWidth="1"/>
    <x:col min="4" max="4" width="17.6299991607666" hidden="0" customWidth="1"/>
    <x:col min="5" max="5" width="19" hidden="0" customWidth="1"/>
    <x:col min="6" max="6" width="16.1299991607666" hidden="0" customWidth="1"/>
    <x:col min="7" max="7" width="17.1299991607666" hidden="0" customWidth="1"/>
    <x:col min="8" max="8" width="18.3799991607666" hidden="0" customWidth="1"/>
    <x:col min="9" max="9" width="18.8799991607666" hidden="0" customWidth="1"/>
    <x:col min="10" max="10" width="20.25" hidden="0" customWidth="1"/>
    <x:col min="11" max="11" width="12.630000114440918" hidden="0" customWidth="1"/>
  </x:cols>
  <x:sheetData>
    <x:row r="1">
      <x:c r="A1" s="7" t="str">
        <x:v>Product Analysis | Cumulative April–July 2026</x:v>
      </x:c>
    </x:row>
    <x:row r="3">
      <x:c r="A3" s="10" t="str">
        <x:v>Product</x:v>
      </x:c>
      <x:c r="B3" s="10" t="str">
        <x:v>Product_Group</x:v>
      </x:c>
      <x:c r="C3" s="10" t="str">
        <x:v>Apr_Jul_Volume_000MT</x:v>
      </x:c>
      <x:c r="D3" s="10" t="str">
        <x:v>Apr_Jul_Value_Rs_Cr</x:v>
      </x:c>
      <x:c r="E3" s="10" t="str">
        <x:v>Apr_Jul_Value_USD_M</x:v>
      </x:c>
      <x:c r="F3" s="10" t="str">
        <x:v>Volume_Share_pct</x:v>
      </x:c>
      <x:c r="G3" s="10" t="str">
        <x:v>Rs_Value_Share_pct</x:v>
      </x:c>
      <x:c r="H3" s="10" t="str">
        <x:v>USD_Value_Share_pct</x:v>
      </x:c>
      <x:c r="I3" s="10" t="str">
        <x:v>Implied_Rs_per_Tonne</x:v>
      </x:c>
      <x:c r="J3" s="10" t="str">
        <x:v>Implied_USD_per_Tonne</x:v>
      </x:c>
      <x:c r="K3" s="10" t="str">
        <x:v>Volume_Rank</x:v>
      </x:c>
      <x:c r="M3" s="10" t="str">
        <x:v>Product</x:v>
      </x:c>
      <x:c r="N3" s="10" t="str">
        <x:v>Apr–Jul Volume (000 MT)</x:v>
      </x:c>
    </x:row>
    <x:row r="4">
      <x:c r="A4" t="str">
        <x:f>'Src_Product'!A2</x:f>
        <x:v>Crude Oil</x:v>
      </x:c>
      <x:c r="B4" t="str">
        <x:f>'Src_Product'!B2</x:f>
        <x:v>Crude Oil</x:v>
      </x:c>
      <x:c r="C4" s="25" t="n">
        <x:f>'Src_Product'!C2</x:f>
        <x:v>81886.042502</x:v>
      </x:c>
      <x:c r="D4" s="25" t="n">
        <x:f>'Src_Product'!D2</x:f>
        <x:v>594133.619712</x:v>
      </x:c>
      <x:c r="E4" s="25" t="n">
        <x:f>'Src_Product'!E2</x:f>
        <x:v>63374.017309</x:v>
      </x:c>
      <x:c r="F4" s="26" t="n">
        <x:f>'Src_Product'!F2/100</x:f>
        <x:v>0.9006701994819379</x:v>
      </x:c>
      <x:c r="G4" s="26" t="n">
        <x:f>'Src_Product'!G2/100</x:f>
        <x:v>0.9189945092233169</x:v>
      </x:c>
      <x:c r="H4" s="26" t="n">
        <x:f>'Src_Product'!H2/100</x:f>
        <x:v>0.9190062851025401</x:v>
      </x:c>
      <x:c r="I4" s="25" t="n">
        <x:f>'Src_Product'!I2</x:f>
        <x:v>72556.15261874314</x:v>
      </x:c>
      <x:c r="J4" s="25" t="n">
        <x:f>'Src_Product'!J2</x:f>
        <x:v>773.9294191369933</x:v>
      </x:c>
      <x:c r="K4" t="n">
        <x:f>'Src_Product'!K2</x:f>
        <x:v>1</x:v>
      </x:c>
      <x:c r="M4" t="str">
        <x:f>A5</x:f>
        <x:v>LPG</x:v>
      </x:c>
      <x:c r="N4" s="39" t="n">
        <x:f>C5</x:f>
        <x:v>3703.168442</x:v>
      </x:c>
    </x:row>
    <x:row r="5">
      <x:c r="A5" t="str">
        <x:f>'Src_Product'!A3</x:f>
        <x:v>LPG</x:v>
      </x:c>
      <x:c r="B5" t="str">
        <x:f>'Src_Product'!B3</x:f>
        <x:v>Petroleum Product</x:v>
      </x:c>
      <x:c r="C5" s="25" t="n">
        <x:f>'Src_Product'!C3</x:f>
        <x:v>3703.168442</x:v>
      </x:c>
      <x:c r="D5" s="25" t="n">
        <x:f>'Src_Product'!D3</x:f>
        <x:v>28144.376991</x:v>
      </x:c>
      <x:c r="E5" s="25" t="n">
        <x:f>'Src_Product'!E3</x:f>
        <x:v>2974.265826</x:v>
      </x:c>
      <x:c r="F5" s="26" t="n">
        <x:f>'Src_Product'!F3/100</x:f>
        <x:v>0.04073140375894823</x:v>
      </x:c>
      <x:c r="G5" s="26" t="n">
        <x:f>'Src_Product'!G3/100</x:f>
        <x:v>0.043533183550154286</x:v>
      </x:c>
      <x:c r="H5" s="26" t="n">
        <x:f>'Src_Product'!H3/100</x:f>
        <x:v>0.04313075142975859</x:v>
      </x:c>
      <x:c r="I5" s="25" t="n">
        <x:f>'Src_Product'!I3</x:f>
        <x:v>76000.80156170223</x:v>
      </x:c>
      <x:c r="J5" s="25" t="n">
        <x:f>'Src_Product'!J3</x:f>
        <x:v>803.1678473673923</x:v>
      </x:c>
      <x:c r="K5" t="n">
        <x:f>'Src_Product'!K3</x:f>
        <x:v>2</x:v>
      </x:c>
      <x:c r="M5" t="str">
        <x:f>A6</x:f>
        <x:v>Petcoke</x:v>
      </x:c>
      <x:c r="N5" s="39" t="n">
        <x:f>C6</x:f>
        <x:v>2202.979796</x:v>
      </x:c>
    </x:row>
    <x:row r="6">
      <x:c r="A6" t="str">
        <x:f>'Src_Product'!A4</x:f>
        <x:v>Petcoke</x:v>
      </x:c>
      <x:c r="B6" t="str">
        <x:f>'Src_Product'!B4</x:f>
        <x:v>Petroleum Product</x:v>
      </x:c>
      <x:c r="C6" s="25" t="n">
        <x:f>'Src_Product'!C4</x:f>
        <x:v>2202.979796</x:v>
      </x:c>
      <x:c r="D6" s="25" t="n">
        <x:f>'Src_Product'!D4</x:f>
        <x:v>2946.241973</x:v>
      </x:c>
      <x:c r="E6" s="25" t="n">
        <x:f>'Src_Product'!E4</x:f>
        <x:v>323.674466</x:v>
      </x:c>
      <x:c r="F6" s="26" t="n">
        <x:f>'Src_Product'!F4/100</x:f>
        <x:v>0.024230725917295824</x:v>
      </x:c>
      <x:c r="G6" s="26" t="n">
        <x:f>'Src_Product'!G4/100</x:f>
        <x:v>0.004557190682699866</x:v>
      </x:c>
      <x:c r="H6" s="26" t="n">
        <x:f>'Src_Product'!H4/100</x:f>
        <x:v>0.0046937038428675575</x:v>
      </x:c>
      <x:c r="I6" s="25" t="n">
        <x:f>'Src_Product'!I4</x:f>
        <x:v>13373.894660085207</x:v>
      </x:c>
      <x:c r="J6" s="25" t="n">
        <x:f>'Src_Product'!J4</x:f>
        <x:v>146.92575328548315</x:v>
      </x:c>
      <x:c r="K6" t="n">
        <x:f>'Src_Product'!K4</x:f>
        <x:v>3</x:v>
      </x:c>
      <x:c r="M6" t="str">
        <x:f>A7</x:f>
        <x:v>LOBS/ Lube Oil</x:v>
      </x:c>
      <x:c r="N6" s="39" t="n">
        <x:f>C7</x:f>
        <x:v>982.270282</x:v>
      </x:c>
    </x:row>
    <x:row r="7">
      <x:c r="A7" t="str">
        <x:f>'Src_Product'!A5</x:f>
        <x:v>LOBS/ Lube Oil</x:v>
      </x:c>
      <x:c r="B7" t="str">
        <x:f>'Src_Product'!B5</x:f>
        <x:v>Petroleum Product</x:v>
      </x:c>
      <x:c r="C7" s="25" t="n">
        <x:f>'Src_Product'!C5</x:f>
        <x:v>982.270282</x:v>
      </x:c>
      <x:c r="D7" s="25" t="n">
        <x:f>'Src_Product'!D5</x:f>
        <x:v>8687.481597</x:v>
      </x:c>
      <x:c r="E7" s="25" t="n">
        <x:f>'Src_Product'!E5</x:f>
        <x:v>939.5295160000001</x:v>
      </x:c>
      <x:c r="F7" s="26" t="n">
        <x:f>'Src_Product'!F5/100</x:f>
        <x:v>0.010804058222895697</x:v>
      </x:c>
      <x:c r="G7" s="26" t="n">
        <x:f>'Src_Product'!G5/100</x:f>
        <x:v>0.013437630226163016</x:v>
      </x:c>
      <x:c r="H7" s="26" t="n">
        <x:f>'Src_Product'!H5/100</x:f>
        <x:v>0.01362440897558072</x:v>
      </x:c>
      <x:c r="I7" s="25" t="n">
        <x:f>'Src_Product'!I5</x:f>
        <x:v>88442.88335091868</x:v>
      </x:c>
      <x:c r="J7" s="25" t="n">
        <x:f>'Src_Product'!J5</x:f>
        <x:v>956.4877745125553</x:v>
      </x:c>
      <x:c r="K7" t="n">
        <x:f>'Src_Product'!K5</x:f>
        <x:v>4</x:v>
      </x:c>
      <x:c r="M7" t="str">
        <x:f>A8</x:f>
        <x:v>Others</x:v>
      </x:c>
      <x:c r="N7" s="39" t="n">
        <x:f>C8</x:f>
        <x:v>878.700169</x:v>
      </x:c>
    </x:row>
    <x:row r="8">
      <x:c r="A8" t="str">
        <x:f>'Src_Product'!A6</x:f>
        <x:v>Others</x:v>
      </x:c>
      <x:c r="B8" t="str">
        <x:f>'Src_Product'!B6</x:f>
        <x:v>Petroleum Product</x:v>
      </x:c>
      <x:c r="C8" s="25" t="n">
        <x:f>'Src_Product'!C6</x:f>
        <x:v>878.700169</x:v>
      </x:c>
      <x:c r="D8" s="25" t="n">
        <x:f>'Src_Product'!D6</x:f>
        <x:v>6241.604238</x:v>
      </x:c>
      <x:c r="E8" s="25" t="n">
        <x:f>'Src_Product'!E6</x:f>
        <x:v>667.173733</x:v>
      </x:c>
      <x:c r="F8" s="26" t="n">
        <x:f>'Src_Product'!F6/100</x:f>
        <x:v>0.009664883444314857</x:v>
      </x:c>
      <x:c r="G8" s="26" t="n">
        <x:f>'Src_Product'!G6/100</x:f>
        <x:v>0.009654393949710252</x:v>
      </x:c>
      <x:c r="H8" s="26" t="n">
        <x:f>'Src_Product'!H6/100</x:f>
        <x:v>0.009674893275153789</x:v>
      </x:c>
      <x:c r="I8" s="25" t="n">
        <x:f>'Src_Product'!I6</x:f>
        <x:v>71032.24123768206</x:v>
      </x:c>
      <x:c r="J8" s="25" t="n">
        <x:f>'Src_Product'!J6</x:f>
        <x:v>759.27347750402</x:v>
      </x:c>
      <x:c r="K8" t="n">
        <x:f>'Src_Product'!K6</x:f>
        <x:v>5</x:v>
      </x:c>
      <x:c r="M8" t="str">
        <x:f>A9</x:f>
        <x:v>Bitumen</x:v>
      </x:c>
      <x:c r="N8" s="39" t="n">
        <x:f>C9</x:f>
        <x:v>542.468022</x:v>
      </x:c>
    </x:row>
    <x:row r="9">
      <x:c r="A9" t="str">
        <x:f>'Src_Product'!A7</x:f>
        <x:v>Bitumen</x:v>
      </x:c>
      <x:c r="B9" t="str">
        <x:f>'Src_Product'!B7</x:f>
        <x:v>Petroleum Product</x:v>
      </x:c>
      <x:c r="C9" s="25" t="n">
        <x:f>'Src_Product'!C7</x:f>
        <x:v>542.468022</x:v>
      </x:c>
      <x:c r="D9" s="25" t="n">
        <x:f>'Src_Product'!D7</x:f>
        <x:v>2139.220999</x:v>
      </x:c>
      <x:c r="E9" s="25" t="n">
        <x:f>'Src_Product'!E7</x:f>
        <x:v>233.409016</x:v>
      </x:c>
      <x:c r="F9" s="26" t="n">
        <x:f>'Src_Product'!F7/100</x:f>
        <x:v>0.005966642991391103</x:v>
      </x:c>
      <x:c r="G9" s="26" t="n">
        <x:f>'Src_Product'!G7/100</x:f>
        <x:v>0.0033089060892551136</x:v>
      </x:c>
      <x:c r="H9" s="26" t="n">
        <x:f>'Src_Product'!H7/100</x:f>
        <x:v>0.003384736549960463</x:v>
      </x:c>
      <x:c r="I9" s="25" t="n">
        <x:f>'Src_Product'!I7</x:f>
        <x:v>39434.96966167713</x:v>
      </x:c>
      <x:c r="J9" s="25" t="n">
        <x:f>'Src_Product'!J7</x:f>
        <x:v>430.2723967754914</x:v>
      </x:c>
      <x:c r="K9" t="n">
        <x:f>'Src_Product'!K7</x:f>
        <x:v>6</x:v>
      </x:c>
      <x:c r="M9" t="str">
        <x:f>A10</x:f>
        <x:v>Fuel Oil</x:v>
      </x:c>
      <x:c r="N9" s="39" t="n">
        <x:f>C10</x:f>
        <x:v>442.14465</x:v>
      </x:c>
    </x:row>
    <x:row r="10">
      <x:c r="A10" t="str">
        <x:f>'Src_Product'!A8</x:f>
        <x:v>Fuel Oil</x:v>
      </x:c>
      <x:c r="B10" t="str">
        <x:f>'Src_Product'!B8</x:f>
        <x:v>Petroleum Product</x:v>
      </x:c>
      <x:c r="C10" s="25" t="n">
        <x:f>'Src_Product'!C8</x:f>
        <x:v>442.14465</x:v>
      </x:c>
      <x:c r="D10" s="25" t="n">
        <x:f>'Src_Product'!D8</x:f>
        <x:v>2217.2316769999998</x:v>
      </x:c>
      <x:c r="E10" s="25" t="n">
        <x:f>'Src_Product'!E8</x:f>
        <x:v>235.248764</x:v>
      </x:c>
      <x:c r="F10" s="26" t="n">
        <x:f>'Src_Product'!F8/100</x:f>
        <x:v>0.004863179339820279</x:v>
      </x:c>
      <x:c r="G10" s="26" t="n">
        <x:f>'Src_Product'!G8/100</x:f>
        <x:v>0.003429571512594631</x:v>
      </x:c>
      <x:c r="H10" s="26" t="n">
        <x:f>'Src_Product'!H8/100</x:f>
        <x:v>0.0034114153064413893</x:v>
      </x:c>
      <x:c r="I10" s="25" t="n">
        <x:f>'Src_Product'!I8</x:f>
        <x:v>50147.20130617886</x:v>
      </x:c>
      <x:c r="J10" s="25" t="n">
        <x:f>'Src_Product'!J8</x:f>
        <x:v>532.0628984202342</x:v>
      </x:c>
      <x:c r="K10" t="n">
        <x:f>'Src_Product'!K8</x:f>
        <x:v>7</x:v>
      </x:c>
      <x:c r="M10" t="str">
        <x:f>A11</x:f>
        <x:v>Naphtha</x:v>
      </x:c>
      <x:c r="N10" s="39" t="n">
        <x:f>C11</x:f>
        <x:v>270.674272</x:v>
      </x:c>
    </x:row>
    <x:row r="11">
      <x:c r="A11" t="str">
        <x:f>'Src_Product'!A9</x:f>
        <x:v>Naphtha</x:v>
      </x:c>
      <x:c r="B11" t="str">
        <x:f>'Src_Product'!B9</x:f>
        <x:v>Petroleum Product</x:v>
      </x:c>
      <x:c r="C11" s="25" t="n">
        <x:f>'Src_Product'!C9</x:f>
        <x:v>270.674272</x:v>
      </x:c>
      <x:c r="D11" s="25" t="n">
        <x:f>'Src_Product'!D9</x:f>
        <x:v>1929.956613</x:v>
      </x:c>
      <x:c r="E11" s="25" t="n">
        <x:f>'Src_Product'!E9</x:f>
        <x:v>204.914102</x:v>
      </x:c>
      <x:c r="F11" s="26" t="n">
        <x:f>'Src_Product'!F9/100</x:f>
        <x:v>0.002977164888032219</x:v>
      </x:c>
      <x:c r="G11" s="26" t="n">
        <x:f>'Src_Product'!G9/100</x:f>
        <x:v>0.0029852199430255664</x:v>
      </x:c>
      <x:c r="H11" s="26" t="n">
        <x:f>'Src_Product'!H9/100</x:f>
        <x:v>0.002971522962256636</x:v>
      </x:c>
      <x:c r="I11" s="25" t="n">
        <x:f>'Src_Product'!I9</x:f>
        <x:v>71301.81227567872</x:v>
      </x:c>
      <x:c r="J11" s="25" t="n">
        <x:f>'Src_Product'!J9</x:f>
        <x:v>757.0505334175242</x:v>
      </x:c>
      <x:c r="K11" t="n">
        <x:f>'Src_Product'!K9</x:f>
        <x:v>8</x:v>
      </x:c>
    </x:row>
    <x:row r="12">
      <x:c r="A12" t="str">
        <x:f>'Src_Product'!A10</x:f>
        <x:v>HSD</x:v>
      </x:c>
      <x:c r="B12" t="str">
        <x:f>'Src_Product'!B10</x:f>
        <x:v>Petroleum Product</x:v>
      </x:c>
      <x:c r="C12" s="25" t="n">
        <x:f>'Src_Product'!C10</x:f>
        <x:v>8.280855</x:v>
      </x:c>
      <x:c r="D12" s="25" t="n">
        <x:f>'Src_Product'!D10</x:f>
        <x:v>63.549691</x:v>
      </x:c>
      <x:c r="E12" s="25" t="n">
        <x:f>'Src_Product'!E10</x:f>
        <x:v>6.976466</x:v>
      </x:c>
      <x:c r="F12" s="26" t="n">
        <x:f>'Src_Product'!F10/100</x:f>
        <x:v>0.00009108169227434382</x:v>
      </x:c>
      <x:c r="G12" s="26" t="n">
        <x:f>'Src_Product'!G10/100</x:f>
        <x:v>0.0000982974454806111</x:v>
      </x:c>
      <x:c r="H12" s="26" t="n">
        <x:f>'Src_Product'!H10/100</x:f>
        <x:v>0.00010116789772917972</x:v>
      </x:c>
      <x:c r="I12" s="25" t="n">
        <x:f>'Src_Product'!I10</x:f>
        <x:v>76742.91000144309</x:v>
      </x:c>
      <x:c r="J12" s="25" t="n">
        <x:f>'Src_Product'!J10</x:f>
        <x:v>842.4813621298766</x:v>
      </x:c>
      <x:c r="K12" t="n">
        <x:f>'Src_Product'!K10</x:f>
        <x:v>9</x:v>
      </x:c>
    </x:row>
    <x:row r="13">
      <x:c r="A13" t="str">
        <x:f>'Src_Product'!A11</x:f>
        <x:v>ATF</x:v>
      </x:c>
      <x:c r="B13" t="str">
        <x:f>'Src_Product'!B11</x:f>
        <x:v>Petroleum Product</x:v>
      </x:c>
      <x:c r="C13" s="25" t="n">
        <x:f>'Src_Product'!C11</x:f>
        <x:v>0.057461</x:v>
      </x:c>
      <x:c r="D13" s="25" t="n">
        <x:f>'Src_Product'!D11</x:f>
        <x:v>0.518301</x:v>
      </x:c>
      <x:c r="E13" s="25" t="n">
        <x:f>'Src_Product'!E11</x:f>
        <x:v>0.05566600000000001</x:v>
      </x:c>
      <x:c r="F13" s="26" t="n">
        <x:f>'Src_Product'!F11/100</x:f>
        <x:v>6.320174812596127e-7</x:v>
      </x:c>
      <x:c r="G13" s="26" t="n">
        <x:f>'Src_Product'!G11/100</x:f>
        <x:v>8.016980647482017e-7</x:v>
      </x:c>
      <x:c r="H13" s="26" t="n">
        <x:f>'Src_Product'!H11/100</x:f>
        <x:v>8.072299348971986e-7</x:v>
      </x:c>
      <x:c r="I13" s="25" t="n">
        <x:f>'Src_Product'!I11</x:f>
        <x:v>90200.48380640784</x:v>
      </x:c>
      <x:c r="J13" s="25" t="n">
        <x:f>'Src_Product'!J11</x:f>
        <x:v>968.7614207897532</x:v>
      </x:c>
      <x:c r="K13" t="n">
        <x:f>'Src_Product'!K11</x:f>
        <x:v>10</x:v>
      </x:c>
    </x:row>
    <x:row r="14">
      <x:c r="A14" t="str">
        <x:f>'Src_Product'!A12</x:f>
        <x:v>MS</x:v>
      </x:c>
      <x:c r="B14" t="str">
        <x:f>'Src_Product'!B12</x:f>
        <x:v>Petroleum Product</x:v>
      </x:c>
      <x:c r="C14" s="25" t="n">
        <x:f>'Src_Product'!C12</x:f>
        <x:v>0.002568</x:v>
      </x:c>
      <x:c r="D14" s="25" t="n">
        <x:f>'Src_Product'!D12</x:f>
        <x:v>0.191158</x:v>
      </x:c>
      <x:c r="E14" s="25" t="n">
        <x:f>'Src_Product'!E12</x:f>
        <x:v>0.0212</x:v>
      </x:c>
      <x:c r="F14" s="26" t="n">
        <x:f>'Src_Product'!F12/100</x:f>
        <x:v>2.8245608184241234e-8</x:v>
      </x:c>
      <x:c r="G14" s="26" t="n">
        <x:f>'Src_Product'!G12/100</x:f>
        <x:v>2.956795349828318e-7</x:v>
      </x:c>
      <x:c r="H14" s="26" t="n">
        <x:f>'Src_Product'!H12/100</x:f>
        <x:v>3.074277767366185e-7</x:v>
      </x:c>
      <x:c r="I14" s="25" t="n">
        <x:f>'Src_Product'!I12</x:f>
        <x:v>744384.7352024922</x:v>
      </x:c>
      <x:c r="J14" s="25" t="n">
        <x:f>'Src_Product'!J12</x:f>
        <x:v>8255.451713395638</x:v>
      </x:c>
      <x:c r="K14" t="n">
        <x:f>'Src_Product'!K12</x:f>
        <x:v>11</x:v>
      </x:c>
    </x:row>
    <x:row r="15">
      <x:c r="A15" t="str">
        <x:f>'Src_Product'!A13</x:f>
        <x:v>SKO</x:v>
      </x:c>
      <x:c r="B15" t="str">
        <x:f>'Src_Product'!B13</x:f>
        <x:v>Petroleum Product</x:v>
      </x:c>
      <x:c r="C15" s="25" t="n">
        <x:f>'Src_Product'!C13</x:f>
        <x:v>0</x:v>
      </x:c>
      <x:c r="D15" s="25" t="n">
        <x:f>'Src_Product'!D13</x:f>
        <x:v>0</x:v>
      </x:c>
      <x:c r="E15" s="25" t="n">
        <x:f>'Src_Product'!E13</x:f>
        <x:v>0</x:v>
      </x:c>
      <x:c r="F15" s="26" t="n">
        <x:f>'Src_Product'!F13/100</x:f>
        <x:v>0</x:v>
      </x:c>
      <x:c r="G15" s="26" t="n">
        <x:f>'Src_Product'!G13/100</x:f>
        <x:v>0</x:v>
      </x:c>
      <x:c r="H15" s="26" t="n">
        <x:f>'Src_Product'!H13/100</x:f>
        <x:v>0</x:v>
      </x:c>
      <x:c r="I15" s="25" t="n">
        <x:f>'Src_Product'!I13</x:f>
        <x:v>0</x:v>
      </x:c>
      <x:c r="J15" s="25" t="n">
        <x:f>'Src_Product'!J13</x:f>
        <x:v>0</x:v>
      </x:c>
      <x:c r="K15" t="n">
        <x:f>'Src_Product'!K13</x:f>
        <x:v>12</x:v>
      </x:c>
    </x:row>
    <x:row r="18">
      <x:c r="A18" s="27" t="str">
        <x:v>Coverage note</x:v>
      </x:c>
      <x:c r="B18" s="27" t="str">
        <x:v>Apr–Jul aggregate</x:v>
      </x:c>
      <x:c r="C18" s="27" t="str">
        <x:v>The supplied file does not contain month-by-product rows.</x:v>
      </x:c>
    </x:row>
    <x:row r="19">
      <x:c r="A19" s="27" t="str">
        <x:v>Zero-volume rows</x:v>
      </x:c>
      <x:c r="B19" s="27" t="str">
        <x:v>Preserved</x:v>
      </x:c>
      <x:c r="C19" s="27" t="str">
        <x:v>SKO has zero reported volume/value; no artificial value is introduced.</x:v>
      </x:c>
    </x:row>
    <x:row r="20">
      <x:c r="A20" s="27" t="str">
        <x:v>Interpretation</x:v>
      </x:c>
      <x:c r="B20" s="27" t="str">
        <x:v>Descriptive</x:v>
      </x:c>
      <x:c r="C20" s="27" t="str">
        <x:v>Cumulative product ranking is not a monthly driver analysis.</x:v>
      </x:c>
    </x:row>
  </x:sheetData>
  <x:pageMargins left="0.7" right="0.7" top="0.75" bottom="0.75" header="0.3" footer="0.3"/>
  <x:tableParts count="1">
    <x:tablePart xmlns:r="http://schemas.openxmlformats.org/officeDocument/2006/relationships" r:id="R1a8a0969f79d43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80000114440918" hidden="0" customWidth="1"/>
    <x:col min="2" max="2" width="22.75" hidden="0" customWidth="1"/>
    <x:col min="3" max="3" width="23.75" hidden="0" customWidth="1"/>
    <x:col min="4" max="4" width="21.5" hidden="0" customWidth="1"/>
    <x:col min="5" max="5" width="22.75" hidden="0" customWidth="1"/>
    <x:col min="6" max="6" width="17.6299991607666" hidden="0" customWidth="1"/>
    <x:col min="7" max="7" width="18.8799991607666" hidden="0" customWidth="1"/>
    <x:col min="8" max="8" width="20.25" hidden="0" customWidth="1"/>
    <x:col min="9" max="9" width="19" hidden="0" customWidth="1"/>
    <x:col min="11" max="11" width="15.130000114440918" hidden="0" customWidth="1"/>
    <x:col min="12" max="12" width="56" hidden="0" customWidth="1"/>
  </x:cols>
  <x:sheetData>
    <x:row r="1">
      <x:c r="A1" s="7" t="str">
        <x:v>Crude Benchmark &amp; Implied Import Economics | April–July</x:v>
      </x:c>
    </x:row>
    <x:row r="3">
      <x:c r="A3" s="10" t="str">
        <x:v>Month</x:v>
      </x:c>
      <x:c r="B3" s="10" t="str">
        <x:v>Indian_Basket_USD_per_bbl</x:v>
      </x:c>
      <x:c r="C3" s="10" t="str">
        <x:v>Total_Import_Volume_000MT</x:v>
      </x:c>
      <x:c r="D3" s="10" t="str">
        <x:v>Total_Import_Value_Rs_Cr</x:v>
      </x:c>
      <x:c r="E3" s="10" t="str">
        <x:v>Total_Import_Value_USD_M</x:v>
      </x:c>
      <x:c r="F3" s="10" t="str">
        <x:v>Implied_Rs_per_USD</x:v>
      </x:c>
      <x:c r="G3" s="10" t="str">
        <x:v>Implied_Rs_per_Tonne</x:v>
      </x:c>
      <x:c r="H3" s="10" t="str">
        <x:v>Implied_USD_per_Tonne</x:v>
      </x:c>
      <x:c r="I3" s="10" t="str">
        <x:v>Crude_Price_MoM_pct</x:v>
      </x:c>
      <x:c r="K3" s="10" t="str">
        <x:v>Interpretation note</x:v>
      </x:c>
      <x:c r="L3" s="10" t="str">
        <x:v>Details</x:v>
      </x:c>
    </x:row>
    <x:row r="4">
      <x:c r="A4" t="str">
        <x:f>'Src_PriceEcon'!A2</x:f>
        <x:v>April-2026</x:v>
      </x:c>
      <x:c r="B4" s="40" t="n">
        <x:f>'Src_PriceEcon'!B2</x:f>
        <x:v>114.476433</x:v>
      </x:c>
      <x:c r="C4" s="25" t="n">
        <x:f>'Src_PriceEcon'!C2</x:f>
        <x:v>20198.106995</x:v>
      </x:c>
      <x:c r="D4" s="25" t="n">
        <x:f>'Src_PriceEcon'!D2</x:f>
        <x:v>156330.74293199996</x:v>
      </x:c>
      <x:c r="E4" s="25" t="n">
        <x:f>'Src_PriceEcon'!E2</x:f>
        <x:v>16634.916040999997</x:v>
      </x:c>
      <x:c r="F4" s="25" t="n">
        <x:f>'Src_PriceEcon'!F2</x:f>
        <x:v>93.97747637961764</x:v>
      </x:c>
      <x:c r="G4" s="25" t="n">
        <x:f>'Src_PriceEcon'!G2</x:f>
        <x:v>77398.71017155188</x:v>
      </x:c>
      <x:c r="H4" s="25" t="n">
        <x:f>'Src_PriceEcon'!H2</x:f>
        <x:v>823.5878760874936</x:v>
      </x:c>
      <x:c r="I4" s="26" t="n">
        <x:f>'Src_PriceEcon'!I2/100</x:f>
        <x:v>0</x:v>
      </x:c>
      <x:c r="K4" s="27" t="str">
        <x:v>Indian Basket</x:v>
      </x:c>
      <x:c r="L4" s="27" t="str">
        <x:v>Monthly benchmark in USD per barrel.</x:v>
      </x:c>
    </x:row>
    <x:row r="5">
      <x:c r="A5" t="str">
        <x:f>'Src_PriceEcon'!A3</x:f>
        <x:v>May-2026</x:v>
      </x:c>
      <x:c r="B5" s="40" t="n">
        <x:f>'Src_PriceEcon'!B3</x:f>
        <x:v>106.227559</x:v>
      </x:c>
      <x:c r="C5" s="25" t="n">
        <x:f>'Src_PriceEcon'!C3</x:f>
        <x:v>24612.310587000004</x:v>
      </x:c>
      <x:c r="D5" s="25" t="n">
        <x:f>'Src_PriceEcon'!D3</x:f>
        <x:v>194330.186174</x:v>
      </x:c>
      <x:c r="E5" s="25" t="n">
        <x:f>'Src_PriceEcon'!E3</x:f>
        <x:v>21196.141556</x:v>
      </x:c>
      <x:c r="F5" s="25" t="n">
        <x:f>'Src_PriceEcon'!F3</x:f>
        <x:v>91.6818684478878</x:v>
      </x:c>
      <x:c r="G5" s="25" t="n">
        <x:f>'Src_PriceEcon'!G3</x:f>
        <x:v>78956.49841045133</x:v>
      </x:c>
      <x:c r="H5" s="25" t="n">
        <x:f>'Src_PriceEcon'!H3</x:f>
        <x:v>861.2007995379195</x:v>
      </x:c>
      <x:c r="I5" s="26" t="n">
        <x:f>'Src_PriceEcon'!I3/100</x:f>
        <x:v>-0.07205739892332252</x:v>
      </x:c>
      <x:c r="K5" s="27" t="str">
        <x:v>Implied import cost</x:v>
      </x:c>
      <x:c r="L5" s="27" t="str">
        <x:v>Aggregate import value divided by aggregate volume; shown separately in USD/tonne and INR/tonne.</x:v>
      </x:c>
    </x:row>
    <x:row r="6">
      <x:c r="A6" t="str">
        <x:f>'Src_PriceEcon'!A4</x:f>
        <x:v>June-2026</x:v>
      </x:c>
      <x:c r="B6" s="40" t="n">
        <x:f>'Src_PriceEcon'!B4</x:f>
        <x:v>83.222497</x:v>
      </x:c>
      <x:c r="C6" s="25" t="n">
        <x:f>'Src_PriceEcon'!C4</x:f>
        <x:v>22168.692407</x:v>
      </x:c>
      <x:c r="D6" s="25" t="n">
        <x:f>'Src_PriceEcon'!D4</x:f>
        <x:v>152612.14989200002</x:v>
      </x:c>
      <x:c r="E6" s="25" t="n">
        <x:f>'Src_PriceEcon'!E4</x:f>
        <x:v>16084.755151999998</x:v>
      </x:c>
      <x:c r="F6" s="25" t="n">
        <x:f>'Src_PriceEcon'!F4</x:f>
        <x:v>94.8799956541608</x:v>
      </x:c>
      <x:c r="G6" s="25" t="n">
        <x:f>'Src_PriceEcon'!G4</x:f>
        <x:v>68841.29523300666</x:v>
      </x:c>
      <x:c r="H6" s="25" t="n">
        <x:f>'Src_PriceEcon'!H4</x:f>
        <x:v>725.5617452169198</x:v>
      </x:c>
      <x:c r="I6" s="26" t="n">
        <x:f>'Src_PriceEcon'!I4/100</x:f>
        <x:v>-0.2165639709371463</x:v>
      </x:c>
      <x:c r="K6" s="27" t="str">
        <x:v>Comparability</x:v>
      </x:c>
      <x:c r="L6" s="27" t="str">
        <x:v>Different units; do not compare on a shared numeric axis.</x:v>
      </x:c>
    </x:row>
    <x:row r="7">
      <x:c r="A7" t="str">
        <x:f>'Src_PriceEcon'!A5</x:f>
        <x:v>July-2026</x:v>
      </x:c>
      <x:c r="B7" s="40" t="n">
        <x:f>'Src_PriceEcon'!B5</x:f>
        <x:v>82.037861</x:v>
      </x:c>
      <x:c r="C7" s="25" t="n">
        <x:f>'Src_PriceEcon'!C5</x:f>
        <x:v>23937.679030000003</x:v>
      </x:c>
      <x:c r="D7" s="25" t="n">
        <x:f>'Src_PriceEcon'!D5</x:f>
        <x:v>143230.91395200003</x:v>
      </x:c>
      <x:c r="E7" s="25" t="n">
        <x:f>'Src_PriceEcon'!E5</x:f>
        <x:v>15043.473315</x:v>
      </x:c>
      <x:c r="F7" s="25" t="n">
        <x:f>'Src_PriceEcon'!F5</x:f>
        <x:v>95.2113324847547</x:v>
      </x:c>
      <x:c r="G7" s="25" t="n">
        <x:f>'Src_PriceEcon'!G5</x:f>
        <x:v>59834.92124382453</x:v>
      </x:c>
      <x:c r="H7" s="25" t="n">
        <x:f>'Src_PriceEcon'!H5</x:f>
        <x:v>628.4432712188471</x:v>
      </x:c>
      <x:c r="I7" s="26" t="n">
        <x:f>'Src_PriceEcon'!I5/100</x:f>
        <x:v>-0.014234564483206924</x:v>
      </x:c>
      <x:c r="K7" s="27" t="str">
        <x:v>Coverage</x:v>
      </x:c>
      <x:c r="L7" s="27" t="str">
        <x:v>Value and implied cost data stop at July; August is deliberately blank elsewhere.</x:v>
      </x:c>
    </x:row>
    <x:row r="10">
      <x:c r="K10" t="str">
        <x:v>Month</x:v>
      </x:c>
      <x:c r="L10" t="str">
        <x:v>Total Import Value (₹ Cr)</x:v>
      </x:c>
    </x:row>
    <x:row r="11">
      <x:c r="K11" t="str">
        <x:v>April-2026</x:v>
      </x:c>
      <x:c r="L11" s="25" t="n">
        <x:f>D4</x:f>
        <x:v>156330.74293199996</x:v>
      </x:c>
    </x:row>
    <x:row r="12">
      <x:c r="K12" t="str">
        <x:v>May-2026</x:v>
      </x:c>
      <x:c r="L12" s="25" t="n">
        <x:f>D5</x:f>
        <x:v>194330.186174</x:v>
      </x:c>
    </x:row>
    <x:row r="13">
      <x:c r="K13" t="str">
        <x:v>June-2026</x:v>
      </x:c>
      <x:c r="L13" s="25" t="n">
        <x:f>D6</x:f>
        <x:v>152612.14989200002</x:v>
      </x:c>
    </x:row>
    <x:row r="14">
      <x:c r="K14" t="str">
        <x:v>July-2026</x:v>
      </x:c>
      <x:c r="L14" s="25" t="n">
        <x:f>D7</x:f>
        <x:v>143230.91395200003</x:v>
      </x:c>
    </x:row>
    <x:row r="18">
      <x:c r="K18" t="str">
        <x:v>Month</x:v>
      </x:c>
      <x:c r="L18" t="str">
        <x:v>Implied Import Cost (USD/tonne)</x:v>
      </x:c>
    </x:row>
    <x:row r="19">
      <x:c r="K19" t="str">
        <x:v>April-2026</x:v>
      </x:c>
      <x:c r="L19" s="39" t="n">
        <x:f>H4</x:f>
        <x:v>823.5878760874936</x:v>
      </x:c>
    </x:row>
    <x:row r="20">
      <x:c r="K20" t="str">
        <x:v>May-2026</x:v>
      </x:c>
      <x:c r="L20" s="39" t="n">
        <x:f>H5</x:f>
        <x:v>861.2007995379195</x:v>
      </x:c>
    </x:row>
    <x:row r="21">
      <x:c r="K21" t="str">
        <x:v>June-2026</x:v>
      </x:c>
      <x:c r="L21" s="39" t="n">
        <x:f>H6</x:f>
        <x:v>725.5617452169198</x:v>
      </x:c>
    </x:row>
    <x:row r="22">
      <x:c r="K22" t="str">
        <x:v>July-2026</x:v>
      </x:c>
      <x:c r="L22" s="39" t="n">
        <x:f>H7</x:f>
        <x:v>628.4432712188471</x:v>
      </x:c>
    </x:row>
  </x:sheetData>
  <x:pageMargins left="0.7" right="0.7" top="0.75" bottom="0.75" header="0.3" footer="0.3"/>
  <x:tableParts count="1">
    <x:tablePart xmlns:r="http://schemas.openxmlformats.org/officeDocument/2006/relationships" r:id="R8c677bb6f243483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.25" hidden="0" customWidth="1"/>
    <x:col min="2" max="2" width="18.1299991607666" hidden="0" customWidth="1"/>
    <x:col min="3" max="3" width="17.3799991607666" hidden="0" customWidth="1"/>
    <x:col min="4" max="4" width="16.75" hidden="0" customWidth="1"/>
    <x:col min="5" max="5" width="22.25" hidden="0" customWidth="1"/>
    <x:col min="6" max="6" width="21.6299991607666" hidden="0" customWidth="1"/>
    <x:col min="7" max="7" width="23.1299991607666" hidden="0" customWidth="1"/>
    <x:col min="8" max="8" width="20.8799991607666" hidden="0" customWidth="1"/>
    <x:col min="9" max="9" width="20.6299991607666" hidden="0" customWidth="1"/>
    <x:col min="10" max="10" width="21.75" hidden="0" customWidth="1"/>
    <x:col min="11" max="11" width="18.3799991607666" hidden="0" customWidth="1"/>
    <x:col min="12" max="12" width="19.3799991607666" hidden="0" customWidth="1"/>
    <x:col min="13" max="13" width="12.630000114440918" hidden="0" customWidth="1"/>
    <x:col min="14" max="14" width="24.25" hidden="0" customWidth="1"/>
    <x:col min="15" max="15" width="27.1299991607666" hidden="0" customWidth="1"/>
    <x:col min="16" max="16" width="24.25" hidden="0" customWidth="1"/>
  </x:cols>
  <x:sheetData>
    <x:row r="1">
      <x:c r="A1" s="7" t="str">
        <x:v>USD-to-INR Import Value Decomposition | Apr–Jul transitions</x:v>
      </x:c>
    </x:row>
    <x:row r="3" ht="42" customHeight="1">
      <x:c r="A3" s="44" t="str">
        <x:v>Transition</x:v>
      </x:c>
      <x:c r="B3" s="44" t="str">
        <x:v>Previous_USD_Value_M</x:v>
      </x:c>
      <x:c r="C3" s="44" t="str">
        <x:v>Current_USD_Value_M</x:v>
      </x:c>
      <x:c r="D3" s="44" t="str">
        <x:v>USD_Value_MoM_pct</x:v>
      </x:c>
      <x:c r="E3" s="44" t="str">
        <x:v>Previous_Implied_Rs_per_USD</x:v>
      </x:c>
      <x:c r="F3" s="44" t="str">
        <x:v>Current_Implied_Rs_per_USD</x:v>
      </x:c>
      <x:c r="G3" s="44" t="str">
        <x:v>Implied_Rs_per_USD_MoM_pct</x:v>
      </x:c>
      <x:c r="H3" s="44" t="str">
        <x:v>Actual_Rs_Value_Change_Cr</x:v>
      </x:c>
      <x:c r="I3" s="44" t="str">
        <x:v>USD_Exposure_Effect_Rs_Cr</x:v>
      </x:c>
      <x:c r="J3" s="44" t="str">
        <x:v>Currency_Factor_Effect_Rs_Cr</x:v>
      </x:c>
      <x:c r="K3" s="44" t="str">
        <x:v>Interaction_Effect_Rs_Cr</x:v>
      </x:c>
      <x:c r="L3" s="44" t="str">
        <x:v>Reconciled_Change_Rs_Cr</x:v>
      </x:c>
      <x:c r="M3" s="44" t="str">
        <x:v>Residual_Rs_Cr</x:v>
      </x:c>
      <x:c r="N3" s="44" t="str">
        <x:v>USD_Effect_Share_of_Change_pct</x:v>
      </x:c>
      <x:c r="O3" s="44" t="str">
        <x:v>Currency_Effect_Share_of_Change_pct</x:v>
      </x:c>
      <x:c r="P3" s="44" t="str">
        <x:v>Interaction_Share_of_Change_pct</x:v>
      </x:c>
    </x:row>
    <x:row r="4">
      <x:c r="A4" t="str">
        <x:f>'Src_Decomp'!A2</x:f>
        <x:v>Apr → May</x:v>
      </x:c>
      <x:c r="B4" t="n">
        <x:f>'Src_Decomp'!B2</x:f>
        <x:v>16634.916040999997</x:v>
      </x:c>
      <x:c r="C4" t="n">
        <x:f>'Src_Decomp'!C2</x:f>
        <x:v>21196.141556</x:v>
      </x:c>
      <x:c r="D4" t="n">
        <x:f>'Src_Decomp'!D2</x:f>
        <x:v>27.41958843530061</x:v>
      </x:c>
      <x:c r="E4" t="n">
        <x:f>'Src_Decomp'!E2</x:f>
        <x:v>93.97747637961764</x:v>
      </x:c>
      <x:c r="F4" t="n">
        <x:f>'Src_Decomp'!F2</x:f>
        <x:v>91.6818684478878</x:v>
      </x:c>
      <x:c r="G4" t="n">
        <x:f>'Src_Decomp'!G2</x:f>
        <x:v>-2.4427214053470037</x:v>
      </x:c>
      <x:c r="H4" t="n">
        <x:f>'Src_Decomp'!H2</x:f>
        <x:v>37999.44324200004</x:v>
      </x:c>
      <x:c r="I4" t="n">
        <x:f>'Src_Decomp'!I2</x:f>
        <x:v>42865.2463098022</x:v>
      </x:c>
      <x:c r="J4" t="n">
        <x:f>'Src_Decomp'!J2</x:f>
        <x:v>-3818.7245207379665</x:v>
      </x:c>
      <x:c r="K4" t="n">
        <x:f>'Src_Decomp'!K2</x:f>
        <x:v>-1047.0785470642563</x:v>
      </x:c>
      <x:c r="L4" t="n">
        <x:f>'Src_Decomp'!L2</x:f>
        <x:v>37999.44324199997</x:v>
      </x:c>
      <x:c r="M4" t="n">
        <x:f>'Src_Decomp'!M2</x:f>
        <x:v>6.548361852765083e-11</x:v>
      </x:c>
      <x:c r="N4" t="n">
        <x:f>'Src_Decomp'!N2</x:f>
        <x:v>112.80493252707473</x:v>
      </x:c>
      <x:c r="O4" t="n">
        <x:f>'Src_Decomp'!O2</x:f>
        <x:v>-10.049422293948783</x:v>
      </x:c>
      <x:c r="P4" t="n">
        <x:f>'Src_Decomp'!P2</x:f>
        <x:v>-2.7555102331261025</x:v>
      </x:c>
    </x:row>
    <x:row r="5">
      <x:c r="A5" t="str">
        <x:f>'Src_Decomp'!A3</x:f>
        <x:v>May → Jun</x:v>
      </x:c>
      <x:c r="B5" t="n">
        <x:f>'Src_Decomp'!B3</x:f>
        <x:v>21196.141556</x:v>
      </x:c>
      <x:c r="C5" t="n">
        <x:f>'Src_Decomp'!C3</x:f>
        <x:v>16084.755151999998</x:v>
      </x:c>
      <x:c r="D5" t="n">
        <x:f>'Src_Decomp'!D3</x:f>
        <x:v>-24.114702152256196</x:v>
      </x:c>
      <x:c r="E5" t="n">
        <x:f>'Src_Decomp'!E3</x:f>
        <x:v>91.6818684478878</x:v>
      </x:c>
      <x:c r="F5" t="n">
        <x:f>'Src_Decomp'!F3</x:f>
        <x:v>94.8799956541608</x:v>
      </x:c>
      <x:c r="G5" t="n">
        <x:f>'Src_Decomp'!G3</x:f>
        <x:v>3.488287553924385</x:v>
      </x:c>
      <x:c r="H5" t="n">
        <x:f>'Src_Decomp'!H3</x:f>
        <x:v>-41718.03628199999</x:v>
      </x:c>
      <x:c r="I5" t="n">
        <x:f>'Src_Decomp'!I3</x:f>
        <x:v>-46862.14558778503</x:v>
      </x:c>
      <x:c r="J5" t="n">
        <x:f>'Src_Decomp'!J3</x:f>
        <x:v>6778.795697825731</x:v>
      </x:c>
      <x:c r="K5" t="n">
        <x:f>'Src_Decomp'!K3</x:f>
        <x:v>-1634.6863920406317</x:v>
      </x:c>
      <x:c r="L5" t="n">
        <x:f>'Src_Decomp'!L3</x:f>
        <x:v>-41718.036281999935</x:v>
      </x:c>
      <x:c r="M5" t="n">
        <x:f>'Src_Decomp'!M3</x:f>
        <x:v>-5.093170329928398e-11</x:v>
      </x:c>
      <x:c r="N5" t="n">
        <x:f>'Src_Decomp'!N3</x:f>
        <x:v>112.33066022334461</x:v>
      </x:c>
      <x:c r="O5" t="n">
        <x:f>'Src_Decomp'!O3</x:f>
        <x:v>-16.24907666315676</x:v>
      </x:c>
      <x:c r="P5" t="n">
        <x:f>'Src_Decomp'!P3</x:f>
        <x:v>3.9184164398120225</x:v>
      </x:c>
    </x:row>
    <x:row r="6">
      <x:c r="A6" t="str">
        <x:f>'Src_Decomp'!A4</x:f>
        <x:v>Jun → Jul</x:v>
      </x:c>
      <x:c r="B6" t="n">
        <x:f>'Src_Decomp'!B4</x:f>
        <x:v>16084.755151999998</x:v>
      </x:c>
      <x:c r="C6" t="n">
        <x:f>'Src_Decomp'!C4</x:f>
        <x:v>15043.473315</x:v>
      </x:c>
      <x:c r="D6" t="n">
        <x:f>'Src_Decomp'!D4</x:f>
        <x:v>-6.473718916824945</x:v>
      </x:c>
      <x:c r="E6" t="n">
        <x:f>'Src_Decomp'!E4</x:f>
        <x:v>94.8799956541608</x:v>
      </x:c>
      <x:c r="F6" t="n">
        <x:f>'Src_Decomp'!F4</x:f>
        <x:v>95.2113324847547</x:v>
      </x:c>
      <x:c r="G6" t="n">
        <x:f>'Src_Decomp'!G4</x:f>
        <x:v>0.3492167430125592</x:v>
      </x:c>
      <x:c r="H6" t="n">
        <x:f>'Src_Decomp'!H4</x:f>
        <x:v>-9381.235939999984</x:v>
      </x:c>
      <x:c r="I6" t="n">
        <x:f>'Src_Decomp'!I4</x:f>
        <x:v>-9879.681616931644</x:v>
      </x:c>
      <x:c r="J6" t="n">
        <x:f>'Src_Decomp'!J4</x:f>
        <x:v>532.9471792942779</x:v>
      </x:c>
      <x:c r="K6" t="n">
        <x:f>'Src_Decomp'!K4</x:f>
        <x:v>-34.50150236265862</x:v>
      </x:c>
      <x:c r="L6" t="n">
        <x:f>'Src_Decomp'!L4</x:f>
        <x:v>-9381.235940000024</x:v>
      </x:c>
      <x:c r="M6" t="n">
        <x:f>'Src_Decomp'!M4</x:f>
        <x:v>4.001776687800884e-11</x:v>
      </x:c>
      <x:c r="N6" t="n">
        <x:f>'Src_Decomp'!N4</x:f>
        <x:v>105.31321970921095</x:v>
      </x:c>
      <x:c r="O6" t="n">
        <x:f>'Src_Decomp'!O4</x:f>
        <x:v>-5.680991105040674</x:v>
      </x:c>
      <x:c r="P6" t="n">
        <x:f>'Src_Decomp'!P4</x:f>
        <x:v>0.3677713958301605</x:v>
      </x:c>
    </x:row>
  </x:sheetData>
  <x:pageMargins left="0.7" right="0.7" top="0.75" bottom="0.75" header="0.3" footer="0.3"/>
  <x:tableParts count="1">
    <x:tablePart xmlns:r="http://schemas.openxmlformats.org/officeDocument/2006/relationships" r:id="R84558e6930d946e5"/>
  </x:tableParts>
</x:worksheet>
</file>

<file path=xl/worksheets/sheet8.xml><?xml version="1.0" encoding="utf-8"?>
<x:worksheet xmlns:x="http://schemas.openxmlformats.org/spreadsheetml/2006/main">
  <x:sheetPr>
    <x:tabColor rgb="FFE5B748"/>
  </x:sheetPr>
  <x:sheetViews>
    <x:sheetView showGridLines="0" workbookViewId="0"/>
  </x:sheetViews>
  <x:sheetFormatPr defaultRowHeight="15"/>
  <x:cols>
    <x:col min="1" max="1" width="36" hidden="0" customWidth="1"/>
    <x:col min="2" max="2" width="21.75" hidden="0" customWidth="1"/>
    <x:col min="3" max="3" width="66" hidden="0" customWidth="1"/>
  </x:cols>
  <x:sheetData>
    <x:row r="1">
      <x:c r="A1" s="7" t="str">
        <x:v>Approved Inputs &amp; Source Notes</x:v>
      </x:c>
    </x:row>
    <x:row r="3">
      <x:c r="A3" s="10" t="str">
        <x:v>Input</x:v>
      </x:c>
      <x:c r="B3" s="10" t="str">
        <x:v>Value</x:v>
      </x:c>
      <x:c r="C3" s="10" t="str">
        <x:v>Source / treatment</x:v>
      </x:c>
    </x:row>
    <x:row r="4">
      <x:c r="A4" s="16" t="str">
        <x:v>August 2026 total import volume (000 MT)</x:v>
      </x:c>
      <x:c r="B4" s="17" t="n">
        <x:v>21733</x:v>
      </x:c>
      <x:c r="C4" s="16" t="str">
        <x:v>Locked Phase 9B/9C dashboard specification; displayed as 21.73 M MT</x:v>
      </x:c>
    </x:row>
    <x:row r="5">
      <x:c r="A5" s="16" t="str">
        <x:v>August 2026 crude volume share</x:v>
      </x:c>
      <x:c r="B5" s="18" t="n">
        <x:v>0.8749</x:v>
      </x:c>
      <x:c r="C5" s="16" t="str">
        <x:v>Locked Phase 9B/9C dashboard specification; 87.49%</x:v>
      </x:c>
    </x:row>
    <x:row r="6">
      <x:c r="A6" s="16" t="str">
        <x:v>Downside scenario adjustment</x:v>
      </x:c>
      <x:c r="B6" s="19" t="n">
        <x:v>-0.0957</x:v>
      </x:c>
      <x:c r="C6" s="16" t="str">
        <x:v>Locked scenario assumption; −9.57% vs baseline</x:v>
      </x:c>
    </x:row>
    <x:row r="7">
      <x:c r="A7" s="16" t="str">
        <x:v>Upside scenario adjustment</x:v>
      </x:c>
      <x:c r="B7" s="19" t="n">
        <x:v>0.1492</x:v>
      </x:c>
      <x:c r="C7" s="16" t="str">
        <x:v>Locked scenario assumption; +14.92% vs baseline</x:v>
      </x:c>
    </x:row>
    <x:row r="8">
      <x:c r="A8" s="16"/>
      <x:c r="B8" s="16"/>
      <x:c r="C8" s="16"/>
    </x:row>
    <x:row r="9">
      <x:c r="A9" s="10" t="str">
        <x:v>Coverage / limitation</x:v>
      </x:c>
      <x:c r="B9" s="10" t="str">
        <x:v>Status</x:v>
      </x:c>
      <x:c r="C9" s="10" t="str">
        <x:v>Workbook handling</x:v>
      </x:c>
    </x:row>
    <x:row r="10">
      <x:c r="A10" s="16" t="str">
        <x:v>Validated monthly KPIs, value data, benchmark price</x:v>
      </x:c>
      <x:c r="B10" s="16" t="str">
        <x:v>Apr–Jul 2026</x:v>
      </x:c>
      <x:c r="C10" s="16" t="str">
        <x:v>Imported from supplied CSVs; August monetary values remain blank.</x:v>
      </x:c>
    </x:row>
    <x:row r="11">
      <x:c r="A11" s="16" t="str">
        <x:v>Monthly product detail</x:v>
      </x:c>
      <x:c r="B11" s="16" t="str">
        <x:v>Apr–Jul aggregate only</x:v>
      </x:c>
      <x:c r="C11" s="16" t="str">
        <x:v>Product analysis is cumulative Apr–Jul; no monthly product trend is inferred.</x:v>
      </x:c>
    </x:row>
    <x:row r="12">
      <x:c r="A12" s="16"/>
      <x:c r="B12" s="16"/>
      <x:c r="C12" s="16"/>
    </x:row>
    <x:row r="13">
      <x:c r="A13" s="16" t="str">
        <x:v>Forecast status</x:v>
      </x:c>
      <x:c r="B13" s="16" t="str">
        <x:v>Sep–Dec 2026 outlook</x:v>
      </x:c>
      <x:c r="C13" s="16" t="str">
        <x:v>Baseline is a recursive 2-month moving average; scenarios apply fixed adjustments.</x:v>
      </x:c>
    </x:row>
    <x:row r="14">
      <x:c r="A14" s="16" t="str">
        <x:v>Source note</x:v>
      </x:c>
      <x:c r="B14" s="16" t="str">
        <x:v>Prior conversation specification</x:v>
      </x:c>
      <x:c r="C14" s="16" t="str">
        <x:v>August volume/share and forecast/scenario method and assumptions; no Aug INR/USD values or value forecasts.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6.6299991607666" hidden="0" customWidth="1"/>
    <x:col min="2" max="2" width="62" hidden="0" customWidth="1"/>
    <x:col min="3" max="3" width="76" hidden="0" customWidth="1"/>
  </x:cols>
  <x:sheetData>
    <x:row r="1">
      <x:c r="A1" s="7" t="str">
        <x:v>Project Notes, Definitions &amp; Source Inventory</x:v>
      </x:c>
    </x:row>
    <x:row r="3" ht="34" customHeight="1">
      <x:c r="A3" s="10" t="str">
        <x:v>Topic</x:v>
      </x:c>
      <x:c r="B3" s="10" t="str">
        <x:v>Definition / scope</x:v>
      </x:c>
      <x:c r="C3" s="10" t="str">
        <x:v>Source / limitation</x:v>
      </x:c>
    </x:row>
    <x:row r="4" ht="34" customHeight="1">
      <x:c r="A4" s="27" t="str">
        <x:v>Workbook scope</x:v>
      </x:c>
      <x:c r="B4" s="27" t="str">
        <x:v>FY 2026–27; actual Apr–Aug; volume outlook Sep–Dec.</x:v>
      </x:c>
      <x:c r="C4" s="27" t="str">
        <x:v>All values retain original source units unless display formats state otherwise.</x:v>
      </x:c>
    </x:row>
    <x:row r="5" ht="34" customHeight="1">
      <x:c r="A5" s="27" t="str">
        <x:v>Monthly source data</x:v>
      </x:c>
      <x:c r="B5" s="27" t="str">
        <x:v>Supplied monthly_kpis.csv contains Apr–Jul 2026.</x:v>
      </x:c>
      <x:c r="C5" s="27" t="str">
        <x:v>August actual total volume/share carried from the locked prior conversation specification.</x:v>
      </x:c>
    </x:row>
    <x:row r="6" ht="34" customHeight="1">
      <x:c r="A6" s="27" t="str">
        <x:v>August data gap</x:v>
      </x:c>
      <x:c r="B6" s="27" t="str">
        <x:v>Import value, USD value, benchmark and implied unit costs are unavailable.</x:v>
      </x:c>
      <x:c r="C6" s="27" t="str">
        <x:v>No August INR/USD value or implied cost is fabricated; no monetary value forecast is made.</x:v>
      </x:c>
    </x:row>
    <x:row r="7" ht="34" customHeight="1">
      <x:c r="A7" s="27" t="str">
        <x:v>Volume forecast</x:v>
      </x:c>
      <x:c r="B7" s="27" t="str">
        <x:v>Recursive 2-month moving average.</x:v>
      </x:c>
      <x:c r="C7" s="27" t="str">
        <x:v>September averages July/August; subsequent months average prior two actual/forecast months.</x:v>
      </x:c>
    </x:row>
    <x:row r="8" ht="34" customHeight="1">
      <x:c r="A8" s="27" t="str">
        <x:v>Back-test</x:v>
      </x:c>
      <x:c r="B8" s="27" t="str">
        <x:v>August one-step-ahead forecast uses June and July actual volume.</x:v>
      </x:c>
      <x:c r="C8" s="27" t="str">
        <x:v>APE = absolute forecast error / August actual.</x:v>
      </x:c>
    </x:row>
    <x:row r="9" ht="34" customHeight="1">
      <x:c r="A9" s="27" t="str">
        <x:v>Scenario adjustments</x:v>
      </x:c>
      <x:c r="B9" s="27" t="str">
        <x:v>Downside −9.57%; upside +14.92% vs baseline.</x:v>
      </x:c>
      <x:c r="C9" s="27" t="str">
        <x:v>Scenario bounds are planning cases, not statistical confidence intervals.</x:v>
      </x:c>
    </x:row>
    <x:row r="10" ht="34" customHeight="1">
      <x:c r="A10" s="27" t="str">
        <x:v>Product detail</x:v>
      </x:c>
      <x:c r="B10" s="27" t="str">
        <x:v>Product analysis is cumulative April–July by product.</x:v>
      </x:c>
      <x:c r="C10" s="27" t="str">
        <x:v>Monthly product-by-month rows are not present in the supplied files.</x:v>
      </x:c>
    </x:row>
    <x:row r="11" ht="34" customHeight="1">
      <x:c r="A11" s="27" t="str">
        <x:v>Crude benchmark</x:v>
      </x:c>
      <x:c r="B11" s="27" t="str">
        <x:v>Indian Basket monthly average in USD/bbl.</x:v>
      </x:c>
      <x:c r="C11" s="27" t="str">
        <x:v>Kept analytically separate from implied import unit cost in USD/tonne.</x:v>
      </x:c>
    </x:row>
    <x:row r="12" ht="34" customHeight="1">
      <x:c r="A12" s="27" t="str">
        <x:v>Implied import cost</x:v>
      </x:c>
      <x:c r="B12" s="27" t="str">
        <x:v>Total import value divided by total import volume.</x:v>
      </x:c>
      <x:c r="C12" s="27" t="str">
        <x:v>Aggregate effective unit value; not the benchmark crude price.</x:v>
      </x:c>
    </x:row>
    <x:row r="13" ht="34" customHeight="1">
      <x:c r="A13" s="27" t="str">
        <x:v>Source files</x:v>
      </x:c>
      <x:c r="B13" s="27" t="str">
        <x:v>Eight CSVs listed in the source tabs.</x:v>
      </x:c>
      <x:c r="C13" s="27" t="str">
        <x:v>Raw records are retained in individual Src_* sheets; calculations link to them.</x:v>
      </x:c>
    </x:row>
  </x:sheetData>
  <x:pageMargins left="0.7" right="0.7" top="0.75" bottom="0.75" header="0.3" footer="0.3"/>
  <x:tableParts count="1">
    <x:tablePart xmlns:r="http://schemas.openxmlformats.org/officeDocument/2006/relationships" r:id="R5e8776d87fe64ef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.380000114440918" hidden="0" customWidth="1"/>
  </x:cols>
  <x:sheetData>
    <x:row r="1" ht="32" customHeight="1">
      <x:c r="A1" s="5" t="str">
        <x:v>Metric</x:v>
      </x:c>
      <x:c r="B1" s="5" t="str">
        <x:v>Value</x:v>
      </x:c>
    </x:row>
    <x:row r="2">
      <x:c r="A2" s="1" t="str">
        <x:v>Apr-Jul total import volume ('000 MT)</x:v>
      </x:c>
      <x:c r="B2" s="1" t="n">
        <x:v>90916.789019</x:v>
      </x:c>
    </x:row>
    <x:row r="3">
      <x:c r="A3" s="1" t="str">
        <x:v>Apr-Jul total import value (₹ crore)</x:v>
      </x:c>
      <x:c r="B3" s="1" t="n">
        <x:v>646503.99295</x:v>
      </x:c>
    </x:row>
    <x:row r="4">
      <x:c r="A4" s="1" t="str">
        <x:v>Apr-Jul total import value (USD million)</x:v>
      </x:c>
      <x:c r="B4" s="1" t="n">
        <x:v>68959.286064</x:v>
      </x:c>
    </x:row>
    <x:row r="5">
      <x:c r="A5" s="1" t="str">
        <x:v>Crude volume share (%)</x:v>
      </x:c>
      <x:c r="B5" s="1" t="n">
        <x:v>90.06701994819379</x:v>
      </x:c>
    </x:row>
    <x:row r="6">
      <x:c r="A6" s="1" t="str">
        <x:v>Crude ₹ value share (%)</x:v>
      </x:c>
      <x:c r="B6" s="1" t="n">
        <x:v>91.8994509223317</x:v>
      </x:c>
    </x:row>
    <x:row r="7">
      <x:c r="A7" s="1" t="str">
        <x:v>Apr-Jul implied ₹/USD</x:v>
      </x:c>
      <x:c r="B7" s="1" t="n">
        <x:v>93.75154962451178</x:v>
      </x:c>
    </x:row>
  </x:sheetData>
  <x:pageMargins left="0.7" right="0.7" top="0.75" bottom="0.75" header="0.3" footer="0.3"/>
  <x:tableParts count="1">
    <x:tablePart xmlns:r="http://schemas.openxmlformats.org/officeDocument/2006/relationships" r:id="R166ddae041db483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22.75" hidden="0" customWidth="1"/>
    <x:col min="3" max="3" width="19.6299991607666" hidden="0" customWidth="1"/>
    <x:col min="4" max="4" width="23.75" hidden="0" customWidth="1"/>
    <x:col min="5" max="5" width="21.5" hidden="0" customWidth="1"/>
    <x:col min="6" max="6" width="22.75" hidden="0" customWidth="1"/>
    <x:col min="7" max="7" width="17.6299991607666" hidden="0" customWidth="1"/>
    <x:col min="8" max="8" width="18.8799991607666" hidden="0" customWidth="1"/>
    <x:col min="9" max="9" width="20.25" hidden="0" customWidth="1"/>
    <x:col min="10" max="10" width="25" hidden="0" customWidth="1"/>
  </x:cols>
  <x:sheetData>
    <x:row r="1" ht="32" customHeight="1">
      <x:c r="A1" s="5" t="str">
        <x:v>Month</x:v>
      </x:c>
      <x:c r="B1" s="5" t="str">
        <x:v>Indian_Basket_USD_per_bbl</x:v>
      </x:c>
      <x:c r="C1" s="5" t="str">
        <x:v>Price_Status</x:v>
      </x:c>
      <x:c r="D1" s="5" t="str">
        <x:v>Total_Import_Volume_000MT</x:v>
      </x:c>
      <x:c r="E1" s="5" t="str">
        <x:v>Total_Import_Value_Rs_Cr</x:v>
      </x:c>
      <x:c r="F1" s="5" t="str">
        <x:v>Total_Import_Value_USD_M</x:v>
      </x:c>
      <x:c r="G1" s="5" t="str">
        <x:v>Implied_Rs_per_USD</x:v>
      </x:c>
      <x:c r="H1" s="5" t="str">
        <x:v>Implied_Rs_per_Tonne</x:v>
      </x:c>
      <x:c r="I1" s="5" t="str">
        <x:v>Implied_USD_per_Tonne</x:v>
      </x:c>
      <x:c r="J1" s="5" t="str">
        <x:v>MoM_Crude_Price_Change_pct</x:v>
      </x:c>
    </x:row>
    <x:row r="2">
      <x:c r="A2" s="1" t="str">
        <x:v>April-2026</x:v>
      </x:c>
      <x:c r="B2" s="1" t="n">
        <x:v>114.476433</x:v>
      </x:c>
      <x:c r="C2" s="1" t="str">
        <x:v>Completed monthly average</x:v>
      </x:c>
      <x:c r="D2" s="1" t="n">
        <x:v>20198.106995000002</x:v>
      </x:c>
      <x:c r="E2" s="1" t="n">
        <x:v>156330.74293199996</x:v>
      </x:c>
      <x:c r="F2" s="1" t="n">
        <x:v>16634.916040999997</x:v>
      </x:c>
      <x:c r="G2" s="1" t="n">
        <x:v>93.97747637961763</x:v>
      </x:c>
      <x:c r="H2" s="1" t="n">
        <x:v>77398.71017155188</x:v>
      </x:c>
      <x:c r="I2" s="1" t="n">
        <x:v>823.5878760874936</x:v>
      </x:c>
      <x:c r="J2" s="1"/>
    </x:row>
    <x:row r="3">
      <x:c r="A3" s="1" t="str">
        <x:v>May-2026</x:v>
      </x:c>
      <x:c r="B3" s="1" t="n">
        <x:v>106.227559</x:v>
      </x:c>
      <x:c r="C3" s="1" t="str">
        <x:v>Completed monthly average</x:v>
      </x:c>
      <x:c r="D3" s="1" t="n">
        <x:v>24612.310587000004</x:v>
      </x:c>
      <x:c r="E3" s="1" t="n">
        <x:v>194330.186174</x:v>
      </x:c>
      <x:c r="F3" s="1" t="n">
        <x:v>21196.141556000002</x:v>
      </x:c>
      <x:c r="G3" s="1" t="n">
        <x:v>91.68186844788781</x:v>
      </x:c>
      <x:c r="H3" s="1" t="n">
        <x:v>78956.49841045133</x:v>
      </x:c>
      <x:c r="I3" s="1" t="n">
        <x:v>861.2007995379195</x:v>
      </x:c>
      <x:c r="J3" s="1" t="n">
        <x:v>-7.205739892332252</x:v>
      </x:c>
    </x:row>
    <x:row r="4">
      <x:c r="A4" s="1" t="str">
        <x:v>June-2026</x:v>
      </x:c>
      <x:c r="B4" s="1" t="n">
        <x:v>83.222497</x:v>
      </x:c>
      <x:c r="C4" s="1" t="str">
        <x:v>Completed monthly average</x:v>
      </x:c>
      <x:c r="D4" s="1" t="n">
        <x:v>22168.692407</x:v>
      </x:c>
      <x:c r="E4" s="1" t="n">
        <x:v>152612.14989200002</x:v>
      </x:c>
      <x:c r="F4" s="1" t="n">
        <x:v>16084.755151999998</x:v>
      </x:c>
      <x:c r="G4" s="1" t="n">
        <x:v>94.8799956541608</x:v>
      </x:c>
      <x:c r="H4" s="1" t="n">
        <x:v>68841.29523300666</x:v>
      </x:c>
      <x:c r="I4" s="1" t="n">
        <x:v>725.5617452169198</x:v>
      </x:c>
      <x:c r="J4" s="1" t="n">
        <x:v>-21.65639709371463</x:v>
      </x:c>
    </x:row>
    <x:row r="5">
      <x:c r="A5" s="1" t="str">
        <x:v>July-2026</x:v>
      </x:c>
      <x:c r="B5" s="1" t="n">
        <x:v>82.037861</x:v>
      </x:c>
      <x:c r="C5" s="1" t="str">
        <x:v>Completed monthly average</x:v>
      </x:c>
      <x:c r="D5" s="1" t="n">
        <x:v>23937.679030000003</x:v>
      </x:c>
      <x:c r="E5" s="1" t="n">
        <x:v>143230.91395200003</x:v>
      </x:c>
      <x:c r="F5" s="1" t="n">
        <x:v>15043.473315000001</x:v>
      </x:c>
      <x:c r="G5" s="1" t="n">
        <x:v>95.2113324847547</x:v>
      </x:c>
      <x:c r="H5" s="1" t="n">
        <x:v>59834.92124382453</x:v>
      </x:c>
      <x:c r="I5" s="1" t="n">
        <x:v>628.4432712188471</x:v>
      </x:c>
      <x:c r="J5" s="1" t="n">
        <x:v>-1.4234564483206924</x:v>
      </x:c>
    </x:row>
  </x:sheetData>
  <x:pageMargins left="0.7" right="0.7" top="0.75" bottom="0.75" header="0.3" footer="0.3"/>
  <x:tableParts count="1">
    <x:tablePart xmlns:r="http://schemas.openxmlformats.org/officeDocument/2006/relationships" r:id="Rb2fd2b272f974ef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7.25" hidden="0" customWidth="1"/>
  </x:cols>
  <x:sheetData>
    <x:row r="1" ht="32" customHeight="1">
      <x:c r="A1" s="5" t="str">
        <x:v>Metric</x:v>
      </x:c>
      <x:c r="B1" s="5" t="str">
        <x:v>Pearson_Correlation</x:v>
      </x:c>
    </x:row>
    <x:row r="2">
      <x:c r="A2" s="1" t="str">
        <x:v>Crude price vs import volume MoM</x:v>
      </x:c>
      <x:c r="B2" s="1" t="n">
        <x:v>0.744121869780794</x:v>
      </x:c>
    </x:row>
    <x:row r="3">
      <x:c r="A3" s="1" t="str">
        <x:v>Crude price vs total ₹ import value MoM</x:v>
      </x:c>
      <x:c r="B3" s="1" t="n">
        <x:v>0.5459096889477791</x:v>
      </x:c>
    </x:row>
    <x:row r="4">
      <x:c r="A4" s="1" t="str">
        <x:v>Crude price vs implied ₹/tonne MoM</x:v>
      </x:c>
      <x:c r="B4" s="1" t="n">
        <x:v>0.2248204165699712</x:v>
      </x:c>
    </x:row>
    <x:row r="5">
      <x:c r="A5" s="1" t="str">
        <x:v>Crude price vs total USD import value MoM</x:v>
      </x:c>
      <x:c r="B5" s="1" t="n">
        <x:v>0.5530158265457265</x:v>
      </x:c>
    </x:row>
  </x:sheetData>
  <x:pageMargins left="0.7" right="0.7" top="0.75" bottom="0.75" header="0.3" footer="0.3"/>
  <x:tableParts count="1">
    <x:tablePart xmlns:r="http://schemas.openxmlformats.org/officeDocument/2006/relationships" r:id="R7eb281c598cf4b3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22.75" hidden="0" customWidth="1"/>
    <x:col min="3" max="3" width="23.75" hidden="0" customWidth="1"/>
    <x:col min="4" max="4" width="21.5" hidden="0" customWidth="1"/>
    <x:col min="5" max="5" width="22.75" hidden="0" customWidth="1"/>
    <x:col min="6" max="6" width="17.6299991607666" hidden="0" customWidth="1"/>
    <x:col min="7" max="7" width="18.8799991607666" hidden="0" customWidth="1"/>
    <x:col min="8" max="8" width="20.25" hidden="0" customWidth="1"/>
    <x:col min="9" max="9" width="19" hidden="0" customWidth="1"/>
    <x:col min="10" max="10" width="21.6299991607666" hidden="0" customWidth="1"/>
    <x:col min="11" max="11" width="22.6299991607666" hidden="0" customWidth="1"/>
    <x:col min="12" max="12" width="23.8799991607666" hidden="0" customWidth="1"/>
    <x:col min="13" max="13" width="26.6299991607666" hidden="0" customWidth="1"/>
    <x:col min="14" max="14" width="27.8799991607666" hidden="0" customWidth="1"/>
    <x:col min="15" max="15" width="25.25" hidden="0" customWidth="1"/>
    <x:col min="16" max="16" width="30.5" hidden="0" customWidth="1"/>
    <x:col min="17" max="17" width="31.75" hidden="0" customWidth="1"/>
  </x:cols>
  <x:sheetData>
    <x:row r="1" ht="32" customHeight="1">
      <x:c r="A1" s="5" t="str">
        <x:v>Month</x:v>
      </x:c>
      <x:c r="B1" s="5" t="str">
        <x:v>Indian_Basket_USD_per_bbl</x:v>
      </x:c>
      <x:c r="C1" s="5" t="str">
        <x:v>Total_Import_Volume_000MT</x:v>
      </x:c>
      <x:c r="D1" s="5" t="str">
        <x:v>Total_Import_Value_Rs_Cr</x:v>
      </x:c>
      <x:c r="E1" s="5" t="str">
        <x:v>Total_Import_Value_USD_M</x:v>
      </x:c>
      <x:c r="F1" s="5" t="str">
        <x:v>Implied_Rs_per_USD</x:v>
      </x:c>
      <x:c r="G1" s="5" t="str">
        <x:v>Implied_Rs_per_Tonne</x:v>
      </x:c>
      <x:c r="H1" s="5" t="str">
        <x:v>Implied_USD_per_Tonne</x:v>
      </x:c>
      <x:c r="I1" s="5" t="str">
        <x:v>Crude_Price_MoM_pct</x:v>
      </x:c>
      <x:c r="J1" s="5" t="str">
        <x:v>Import_Volume_MoM_pct</x:v>
      </x:c>
      <x:c r="K1" s="5" t="str">
        <x:v>Import_Value_Rs_MoM_pct</x:v>
      </x:c>
      <x:c r="L1" s="5" t="str">
        <x:v>Import_Value_USD_MoM_pct</x:v>
      </x:c>
      <x:c r="M1" s="5" t="str">
        <x:v>Implied_Rs_per_Tonne_MoM_pct</x:v>
      </x:c>
      <x:c r="N1" s="5" t="str">
        <x:v>Implied_USD_per_Tonne_MoM_pct</x:v>
      </x:c>
      <x:c r="O1" s="5" t="str">
        <x:v>Implied_Rs_per_USD_MoM_pct</x:v>
      </x:c>
      <x:c r="P1" s="5" t="str">
        <x:v>Crude_vs_RsUnitValue_Same_Direction</x:v>
      </x:c>
      <x:c r="Q1" s="5" t="str">
        <x:v>Crude_vs_Total_RsValue_Same_Direction</x:v>
      </x:c>
    </x:row>
    <x:row r="2">
      <x:c r="A2" s="1" t="str">
        <x:v>April-2026</x:v>
      </x:c>
      <x:c r="B2" s="1" t="n">
        <x:v>114.476433</x:v>
      </x:c>
      <x:c r="C2" s="1" t="n">
        <x:v>20198.106995</x:v>
      </x:c>
      <x:c r="D2" s="1" t="n">
        <x:v>156330.74293199996</x:v>
      </x:c>
      <x:c r="E2" s="1" t="n">
        <x:v>16634.916040999997</x:v>
      </x:c>
      <x:c r="F2" s="1" t="n">
        <x:v>93.97747637961764</x:v>
      </x:c>
      <x:c r="G2" s="1" t="n">
        <x:v>77398.71017155188</x:v>
      </x:c>
      <x:c r="H2" s="1" t="n">
        <x:v>823.5878760874936</x:v>
      </x:c>
      <x:c r="I2" s="1"/>
      <x:c r="J2" s="1"/>
      <x:c r="K2" s="1"/>
      <x:c r="L2" s="1"/>
      <x:c r="M2" s="1"/>
      <x:c r="N2" s="1"/>
      <x:c r="O2" s="1"/>
      <x:c r="P2" s="1" t="str">
        <x:v>False</x:v>
      </x:c>
      <x:c r="Q2" s="1" t="str">
        <x:v>False</x:v>
      </x:c>
    </x:row>
    <x:row r="3">
      <x:c r="A3" s="1" t="str">
        <x:v>May-2026</x:v>
      </x:c>
      <x:c r="B3" s="1" t="n">
        <x:v>106.227559</x:v>
      </x:c>
      <x:c r="C3" s="1" t="n">
        <x:v>24612.310587000004</x:v>
      </x:c>
      <x:c r="D3" s="1" t="n">
        <x:v>194330.186174</x:v>
      </x:c>
      <x:c r="E3" s="1" t="n">
        <x:v>21196.141556</x:v>
      </x:c>
      <x:c r="F3" s="1" t="n">
        <x:v>91.6818684478878</x:v>
      </x:c>
      <x:c r="G3" s="1" t="n">
        <x:v>78956.49841045133</x:v>
      </x:c>
      <x:c r="H3" s="1" t="n">
        <x:v>861.2007995379195</x:v>
      </x:c>
      <x:c r="I3" s="1" t="n">
        <x:v>-7.205739892332252</x:v>
      </x:c>
      <x:c r="J3" s="1" t="n">
        <x:v>21.85454108690845</x:v>
      </x:c>
      <x:c r="K3" s="1" t="n">
        <x:v>24.30708287398651</x:v>
      </x:c>
      <x:c r="L3" s="1" t="n">
        <x:v>27.41958843530061</x:v>
      </x:c>
      <x:c r="M3" s="1" t="n">
        <x:v>2.0126798436907567</x:v>
      </x:c>
      <x:c r="N3" s="1" t="n">
        <x:v>4.566959342469734</x:v>
      </x:c>
      <x:c r="O3" s="1" t="n">
        <x:v>-2.4427214053470037</x:v>
      </x:c>
      <x:c r="P3" s="1" t="str">
        <x:v>False</x:v>
      </x:c>
      <x:c r="Q3" s="1" t="str">
        <x:v>False</x:v>
      </x:c>
    </x:row>
    <x:row r="4">
      <x:c r="A4" s="1" t="str">
        <x:v>June-2026</x:v>
      </x:c>
      <x:c r="B4" s="1" t="n">
        <x:v>83.222497</x:v>
      </x:c>
      <x:c r="C4" s="1" t="n">
        <x:v>22168.692407</x:v>
      </x:c>
      <x:c r="D4" s="1" t="n">
        <x:v>152612.14989200002</x:v>
      </x:c>
      <x:c r="E4" s="1" t="n">
        <x:v>16084.755151999998</x:v>
      </x:c>
      <x:c r="F4" s="1" t="n">
        <x:v>94.8799956541608</x:v>
      </x:c>
      <x:c r="G4" s="1" t="n">
        <x:v>68841.29523300666</x:v>
      </x:c>
      <x:c r="H4" s="1" t="n">
        <x:v>725.5617452169198</x:v>
      </x:c>
      <x:c r="I4" s="1" t="n">
        <x:v>-21.65639709371463</x:v>
      </x:c>
      <x:c r="J4" s="1" t="n">
        <x:v>-9.92843874353959</x:v>
      </x:c>
      <x:c r="K4" s="1" t="n">
        <x:v>-21.467604752174918</x:v>
      </x:c>
      <x:c r="L4" s="1" t="n">
        <x:v>-24.114702152256196</x:v>
      </x:c>
      <x:c r="M4" s="1" t="n">
        <x:v>-12.81110913108291</x:v>
      </x:c>
      <x:c r="N4" s="1" t="n">
        <x:v>-15.749991685304677</x:v>
      </x:c>
      <x:c r="O4" s="1" t="n">
        <x:v>3.488287553924385</x:v>
      </x:c>
      <x:c r="P4" s="1" t="str">
        <x:v>True</x:v>
      </x:c>
      <x:c r="Q4" s="1" t="str">
        <x:v>True</x:v>
      </x:c>
    </x:row>
    <x:row r="5">
      <x:c r="A5" s="1" t="str">
        <x:v>July-2026</x:v>
      </x:c>
      <x:c r="B5" s="1" t="n">
        <x:v>82.037861</x:v>
      </x:c>
      <x:c r="C5" s="1" t="n">
        <x:v>23937.679030000003</x:v>
      </x:c>
      <x:c r="D5" s="1" t="n">
        <x:v>143230.91395200003</x:v>
      </x:c>
      <x:c r="E5" s="1" t="n">
        <x:v>15043.473315</x:v>
      </x:c>
      <x:c r="F5" s="1" t="n">
        <x:v>95.2113324847547</x:v>
      </x:c>
      <x:c r="G5" s="1" t="n">
        <x:v>59834.92124382453</x:v>
      </x:c>
      <x:c r="H5" s="1" t="n">
        <x:v>628.4432712188471</x:v>
      </x:c>
      <x:c r="I5" s="1" t="n">
        <x:v>-1.4234564483206924</x:v>
      </x:c>
      <x:c r="J5" s="1" t="n">
        <x:v>7.979661544861472</x:v>
      </x:c>
      <x:c r="K5" s="1" t="n">
        <x:v>-6.147109484165492</x:v>
      </x:c>
      <x:c r="L5" s="1" t="n">
        <x:v>-6.473718916824945</x:v>
      </x:c>
      <x:c r="M5" s="1" t="n">
        <x:v>-13.082807286960996</x:v>
      </x:c>
      <x:c r="N5" s="1" t="n">
        <x:v>-13.385280389753362</x:v>
      </x:c>
      <x:c r="O5" s="1" t="n">
        <x:v>0.3492167430125592</x:v>
      </x:c>
      <x:c r="P5" s="1" t="str">
        <x:v>True</x:v>
      </x:c>
      <x:c r="Q5" s="1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7ef75f28488647af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11.5" hidden="0" customWidth="1"/>
    <x:col min="3" max="3" width="23.75" hidden="0" customWidth="1"/>
    <x:col min="4" max="4" width="24.5" hidden="0" customWidth="1"/>
    <x:col min="5" max="5" width="25.8799991607666" hidden="0" customWidth="1"/>
    <x:col min="6" max="6" width="21.5" hidden="0" customWidth="1"/>
    <x:col min="7" max="7" width="22.1299991607666" hidden="0" customWidth="1"/>
    <x:col min="8" max="8" width="23.5" hidden="0" customWidth="1"/>
    <x:col min="9" max="9" width="22.75" hidden="0" customWidth="1"/>
    <x:col min="10" max="10" width="23.5" hidden="0" customWidth="1"/>
    <x:col min="11" max="11" width="24.75" hidden="0" customWidth="1"/>
    <x:col min="12" max="12" width="21" hidden="0" customWidth="1"/>
    <x:col min="13" max="13" width="22.3799991607666" hidden="0" customWidth="1"/>
    <x:col min="14" max="14" width="19.6299991607666" hidden="0" customWidth="1"/>
    <x:col min="15" max="15" width="20.8799991607666" hidden="0" customWidth="1"/>
    <x:col min="16" max="16" width="17.6299991607666" hidden="0" customWidth="1"/>
    <x:col min="17" max="17" width="18.8799991607666" hidden="0" customWidth="1"/>
    <x:col min="18" max="18" width="20.25" hidden="0" customWidth="1"/>
    <x:col min="19" max="19" width="21.8799991607666" hidden="0" customWidth="1"/>
    <x:col min="20" max="20" width="22.8799991607666" hidden="0" customWidth="1"/>
    <x:col min="21" max="21" width="24.25" hidden="0" customWidth="1"/>
    <x:col min="22" max="22" width="22.75" hidden="0" customWidth="1"/>
    <x:col min="23" max="23" width="19.6299991607666" hidden="0" customWidth="1"/>
  </x:cols>
  <x:sheetData>
    <x:row r="1" ht="32" customHeight="1">
      <x:c r="A1" s="5" t="str">
        <x:v>Month</x:v>
      </x:c>
      <x:c r="B1" s="5" t="str">
        <x:v>Month_Sort</x:v>
      </x:c>
      <x:c r="C1" s="5" t="str">
        <x:v>Total_Import_Volume_000MT</x:v>
      </x:c>
      <x:c r="D1" s="5" t="str">
        <x:v>Crude_Import_Volume_000MT</x:v>
      </x:c>
      <x:c r="E1" s="5" t="str">
        <x:v>Product_Import_Volume_000MT</x:v>
      </x:c>
      <x:c r="F1" s="5" t="str">
        <x:v>Total_Import_Value_Rs_Cr</x:v>
      </x:c>
      <x:c r="G1" s="5" t="str">
        <x:v>Crude_Import_Value_Rs_Cr</x:v>
      </x:c>
      <x:c r="H1" s="5" t="str">
        <x:v>Product_Import_Value_Rs_Cr</x:v>
      </x:c>
      <x:c r="I1" s="5" t="str">
        <x:v>Total_Import_Value_USD_M</x:v>
      </x:c>
      <x:c r="J1" s="5" t="str">
        <x:v>Crude_Import_Value_USD_M</x:v>
      </x:c>
      <x:c r="K1" s="5" t="str">
        <x:v>Product_Import_Value_USD_M</x:v>
      </x:c>
      <x:c r="L1" s="5" t="str">
        <x:v>Crude_Volume_Share_pct</x:v>
      </x:c>
      <x:c r="M1" s="5" t="str">
        <x:v>Product_Volume_Share_pct</x:v>
      </x:c>
      <x:c r="N1" s="5" t="str">
        <x:v>Crude_Value_Share_pct</x:v>
      </x:c>
      <x:c r="O1" s="5" t="str">
        <x:v>Product_Value_Share_pct</x:v>
      </x:c>
      <x:c r="P1" s="5" t="str">
        <x:v>Implied_Rs_per_USD</x:v>
      </x:c>
      <x:c r="Q1" s="5" t="str">
        <x:v>Implied_Rs_per_Tonne</x:v>
      </x:c>
      <x:c r="R1" s="5" t="str">
        <x:v>Implied_USD_per_Tonne</x:v>
      </x:c>
      <x:c r="S1" s="5" t="str">
        <x:v>MoM_Volume_Change_pct</x:v>
      </x:c>
      <x:c r="T1" s="5" t="str">
        <x:v>MoM_Rs_Value_Change_pct</x:v>
      </x:c>
      <x:c r="U1" s="5" t="str">
        <x:v>MoM_USD_Value_Change_pct</x:v>
      </x:c>
      <x:c r="V1" s="5" t="str">
        <x:v>Indian_Basket_USD_per_bbl</x:v>
      </x:c>
      <x:c r="W1" s="5" t="str">
        <x:v>Price_Status</x:v>
      </x:c>
    </x:row>
    <x:row r="2">
      <x:c r="A2" s="1" t="str">
        <x:v>April-2026</x:v>
      </x:c>
      <x:c r="B2" s="1" t="n">
        <x:v>4</x:v>
      </x:c>
      <x:c r="C2" s="1" t="n">
        <x:v>20198.106995000002</x:v>
      </x:c>
      <x:c r="D2" s="1" t="n">
        <x:v>18468.056066</x:v>
      </x:c>
      <x:c r="E2" s="1" t="n">
        <x:v>1730.050929000001</x:v>
      </x:c>
      <x:c r="F2" s="1" t="n">
        <x:v>156330.74293199996</x:v>
      </x:c>
      <x:c r="G2" s="1" t="n">
        <x:v>146727.358143</x:v>
      </x:c>
      <x:c r="H2" s="1" t="n">
        <x:v>9603.384788999974</x:v>
      </x:c>
      <x:c r="I2" s="1" t="n">
        <x:v>16634.916040999997</x:v>
      </x:c>
      <x:c r="J2" s="1" t="n">
        <x:v>15607.414522</x:v>
      </x:c>
      <x:c r="K2" s="1" t="n">
        <x:v>1027.5015189999976</x:v>
      </x:c>
      <x:c r="L2" s="1" t="n">
        <x:v>91.43458874919183</x:v>
      </x:c>
      <x:c r="M2" s="1" t="n">
        <x:v>8.565411250808165</x:v>
      </x:c>
      <x:c r="N2" s="1" t="n">
        <x:v>93.85700815534587</x:v>
      </x:c>
      <x:c r="O2" s="1" t="n">
        <x:v>6.142991844654133</x:v>
      </x:c>
      <x:c r="P2" s="1" t="n">
        <x:v>93.97747637961763</x:v>
      </x:c>
      <x:c r="Q2" s="1" t="n">
        <x:v>77398.71017155188</x:v>
      </x:c>
      <x:c r="R2" s="1" t="n">
        <x:v>823.5878760874936</x:v>
      </x:c>
      <x:c r="S2" s="1"/>
      <x:c r="T2" s="1"/>
      <x:c r="U2" s="1"/>
      <x:c r="V2" s="1" t="n">
        <x:v>114.476433</x:v>
      </x:c>
      <x:c r="W2" s="1" t="str">
        <x:v>Completed monthly average</x:v>
      </x:c>
    </x:row>
    <x:row r="3">
      <x:c r="A3" s="1" t="str">
        <x:v>May-2026</x:v>
      </x:c>
      <x:c r="B3" s="1" t="n">
        <x:v>5</x:v>
      </x:c>
      <x:c r="C3" s="1" t="n">
        <x:v>24612.310587000004</x:v>
      </x:c>
      <x:c r="D3" s="1" t="n">
        <x:v>22421.028278</x:v>
      </x:c>
      <x:c r="E3" s="1" t="n">
        <x:v>2191.282309000002</x:v>
      </x:c>
      <x:c r="F3" s="1" t="n">
        <x:v>194330.186174</x:v>
      </x:c>
      <x:c r="G3" s="1" t="n">
        <x:v>178096.843015</x:v>
      </x:c>
      <x:c r="H3" s="1" t="n">
        <x:v>16233.343159000011</x:v>
      </x:c>
      <x:c r="I3" s="1" t="n">
        <x:v>21196.141556000002</x:v>
      </x:c>
      <x:c r="J3" s="1" t="n">
        <x:v>19486.684309</x:v>
      </x:c>
      <x:c r="K3" s="1" t="n">
        <x:v>1709.457247000002</x:v>
      </x:c>
      <x:c r="L3" s="1" t="n">
        <x:v>91.09680376714644</x:v>
      </x:c>
      <x:c r="M3" s="1" t="n">
        <x:v>8.90319623285356</x:v>
      </x:c>
      <x:c r="N3" s="1" t="n">
        <x:v>91.64651489374639</x:v>
      </x:c>
      <x:c r="O3" s="1" t="n">
        <x:v>8.353485106253615</x:v>
      </x:c>
      <x:c r="P3" s="1" t="n">
        <x:v>91.68186844788781</x:v>
      </x:c>
      <x:c r="Q3" s="1" t="n">
        <x:v>78956.49841045133</x:v>
      </x:c>
      <x:c r="R3" s="1" t="n">
        <x:v>861.2007995379195</x:v>
      </x:c>
      <x:c r="S3" s="1" t="n">
        <x:v>21.85454108690843</x:v>
      </x:c>
      <x:c r="T3" s="1" t="n">
        <x:v>24.30708287398651</x:v>
      </x:c>
      <x:c r="U3" s="1" t="n">
        <x:v>27.419588435300636</x:v>
      </x:c>
      <x:c r="V3" s="1" t="n">
        <x:v>106.227559</x:v>
      </x:c>
      <x:c r="W3" s="1" t="str">
        <x:v>Completed monthly average</x:v>
      </x:c>
    </x:row>
    <x:row r="4">
      <x:c r="A4" s="1" t="str">
        <x:v>June-2026</x:v>
      </x:c>
      <x:c r="B4" s="1" t="n">
        <x:v>6</x:v>
      </x:c>
      <x:c r="C4" s="1" t="n">
        <x:v>22168.692407</x:v>
      </x:c>
      <x:c r="D4" s="1" t="n">
        <x:v>19592.33224</x:v>
      </x:c>
      <x:c r="E4" s="1" t="n">
        <x:v>2576.360166999999</x:v>
      </x:c>
      <x:c r="F4" s="1" t="n">
        <x:v>152612.14989200002</x:v>
      </x:c>
      <x:c r="G4" s="1" t="n">
        <x:v>138441.280172</x:v>
      </x:c>
      <x:c r="H4" s="1" t="n">
        <x:v>14170.869720000017</x:v>
      </x:c>
      <x:c r="I4" s="1" t="n">
        <x:v>16084.755151999998</x:v>
      </x:c>
      <x:c r="J4" s="1" t="n">
        <x:v>14563.425738</x:v>
      </x:c>
      <x:c r="K4" s="1" t="n">
        <x:v>1521.329413999998</x:v>
      </x:c>
      <x:c r="L4" s="1" t="n">
        <x:v>88.3783846169182</x:v>
      </x:c>
      <x:c r="M4" s="1" t="n">
        <x:v>11.6216153830818</x:v>
      </x:c>
      <x:c r="N4" s="1" t="n">
        <x:v>90.71445508760056</x:v>
      </x:c>
      <x:c r="O4" s="1" t="n">
        <x:v>9.285544912399441</x:v>
      </x:c>
      <x:c r="P4" s="1" t="n">
        <x:v>94.8799956541608</x:v>
      </x:c>
      <x:c r="Q4" s="1" t="n">
        <x:v>68841.29523300666</x:v>
      </x:c>
      <x:c r="R4" s="1" t="n">
        <x:v>725.5617452169198</x:v>
      </x:c>
      <x:c r="S4" s="1" t="n">
        <x:v>-9.92843874353959</x:v>
      </x:c>
      <x:c r="T4" s="1" t="n">
        <x:v>-21.467604752174918</x:v>
      </x:c>
      <x:c r="U4" s="1" t="n">
        <x:v>-24.114702152256207</x:v>
      </x:c>
      <x:c r="V4" s="1" t="n">
        <x:v>83.222497</x:v>
      </x:c>
      <x:c r="W4" s="1" t="str">
        <x:v>Completed monthly average</x:v>
      </x:c>
    </x:row>
    <x:row r="5">
      <x:c r="A5" s="1" t="str">
        <x:v>July-2026</x:v>
      </x:c>
      <x:c r="B5" s="1" t="n">
        <x:v>7</x:v>
      </x:c>
      <x:c r="C5" s="1" t="n">
        <x:v>23937.679030000003</x:v>
      </x:c>
      <x:c r="D5" s="1" t="n">
        <x:v>21404.625918</x:v>
      </x:c>
      <x:c r="E5" s="1" t="n">
        <x:v>2533.0531120000014</x:v>
      </x:c>
      <x:c r="F5" s="1" t="n">
        <x:v>143230.91395200003</x:v>
      </x:c>
      <x:c r="G5" s="1" t="n">
        <x:v>130868.138382</x:v>
      </x:c>
      <x:c r="H5" s="1" t="n">
        <x:v>12362.775570000027</x:v>
      </x:c>
      <x:c r="I5" s="1" t="n">
        <x:v>15043.473315000001</x:v>
      </x:c>
      <x:c r="J5" s="1" t="n">
        <x:v>13716.49274</x:v>
      </x:c>
      <x:c r="K5" s="1" t="n">
        <x:v>1326.9805750000014</x:v>
      </x:c>
      <x:c r="L5" s="1" t="n">
        <x:v>89.41813402700637</x:v>
      </x:c>
      <x:c r="M5" s="1" t="n">
        <x:v>10.581865972993628</x:v>
      </x:c>
      <x:c r="N5" s="1" t="n">
        <x:v>91.36864017069453</x:v>
      </x:c>
      <x:c r="O5" s="1" t="n">
        <x:v>8.63135982930548</x:v>
      </x:c>
      <x:c r="P5" s="1" t="n">
        <x:v>95.2113324847547</x:v>
      </x:c>
      <x:c r="Q5" s="1" t="n">
        <x:v>59834.92124382453</x:v>
      </x:c>
      <x:c r="R5" s="1" t="n">
        <x:v>628.4432712188471</x:v>
      </x:c>
      <x:c r="S5" s="1" t="n">
        <x:v>7.979661544861472</x:v>
      </x:c>
      <x:c r="T5" s="1" t="n">
        <x:v>-6.147109484165492</x:v>
      </x:c>
      <x:c r="U5" s="1" t="n">
        <x:v>-6.473718916824933</x:v>
      </x:c>
      <x:c r="V5" s="1" t="n">
        <x:v>82.037861</x:v>
      </x:c>
      <x:c r="W5" s="1" t="str">
        <x:v>Completed monthly average</x:v>
      </x:c>
    </x:row>
  </x:sheetData>
  <x:pageMargins left="0.7" right="0.7" top="0.75" bottom="0.75" header="0.3" footer="0.3"/>
  <x:tableParts count="1">
    <x:tablePart xmlns:r="http://schemas.openxmlformats.org/officeDocument/2006/relationships" r:id="Rf656dc350be04b69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" hidden="0" customWidth="1"/>
    <x:col min="2" max="2" width="13.630000114440918" hidden="0" customWidth="1"/>
    <x:col min="3" max="3" width="20" hidden="0" customWidth="1"/>
    <x:col min="4" max="4" width="17.6299991607666" hidden="0" customWidth="1"/>
    <x:col min="5" max="5" width="19" hidden="0" customWidth="1"/>
    <x:col min="6" max="6" width="16.1299991607666" hidden="0" customWidth="1"/>
    <x:col min="7" max="7" width="17.1299991607666" hidden="0" customWidth="1"/>
    <x:col min="8" max="8" width="18.3799991607666" hidden="0" customWidth="1"/>
    <x:col min="9" max="9" width="18.8799991607666" hidden="0" customWidth="1"/>
    <x:col min="10" max="10" width="20.25" hidden="0" customWidth="1"/>
    <x:col min="11" max="11" width="12.630000114440918" hidden="0" customWidth="1"/>
    <x:col min="12" max="12" width="13.630000114440918" hidden="0" customWidth="1"/>
  </x:cols>
  <x:sheetData>
    <x:row r="1" ht="32" customHeight="1">
      <x:c r="A1" s="5" t="str">
        <x:v>Product</x:v>
      </x:c>
      <x:c r="B1" s="5" t="str">
        <x:v>Product_Group</x:v>
      </x:c>
      <x:c r="C1" s="5" t="str">
        <x:v>Apr_Jul_Volume_000MT</x:v>
      </x:c>
      <x:c r="D1" s="5" t="str">
        <x:v>Apr_Jul_Value_Rs_Cr</x:v>
      </x:c>
      <x:c r="E1" s="5" t="str">
        <x:v>Apr_Jul_Value_USD_M</x:v>
      </x:c>
      <x:c r="F1" s="5" t="str">
        <x:v>Volume_Share_pct</x:v>
      </x:c>
      <x:c r="G1" s="5" t="str">
        <x:v>Rs_Value_Share_pct</x:v>
      </x:c>
      <x:c r="H1" s="5" t="str">
        <x:v>USD_Value_Share_pct</x:v>
      </x:c>
      <x:c r="I1" s="5" t="str">
        <x:v>Implied_Rs_per_Tonne</x:v>
      </x:c>
      <x:c r="J1" s="5" t="str">
        <x:v>Implied_USD_per_Tonne</x:v>
      </x:c>
      <x:c r="K1" s="5" t="str">
        <x:v>Volume_Rank</x:v>
      </x:c>
      <x:c r="L1" s="5" t="str">
        <x:v>Rs_Value_Rank</x:v>
      </x:c>
    </x:row>
    <x:row r="2">
      <x:c r="A2" s="1" t="str">
        <x:v>Crude Oil</x:v>
      </x:c>
      <x:c r="B2" s="1" t="str">
        <x:v>Crude Oil</x:v>
      </x:c>
      <x:c r="C2" s="1" t="n">
        <x:v>81886.042502</x:v>
      </x:c>
      <x:c r="D2" s="1" t="n">
        <x:v>594133.619712</x:v>
      </x:c>
      <x:c r="E2" s="1" t="n">
        <x:v>63374.017309</x:v>
      </x:c>
      <x:c r="F2" s="1" t="n">
        <x:v>90.06701994819379</x:v>
      </x:c>
      <x:c r="G2" s="1" t="n">
        <x:v>91.8994509223317</x:v>
      </x:c>
      <x:c r="H2" s="1" t="n">
        <x:v>91.90062851025401</x:v>
      </x:c>
      <x:c r="I2" s="1" t="n">
        <x:v>72556.15261874314</x:v>
      </x:c>
      <x:c r="J2" s="1" t="n">
        <x:v>773.9294191369933</x:v>
      </x:c>
      <x:c r="K2" s="1" t="n">
        <x:v>1</x:v>
      </x:c>
      <x:c r="L2" s="1" t="n">
        <x:v>1</x:v>
      </x:c>
    </x:row>
    <x:row r="3">
      <x:c r="A3" s="1" t="str">
        <x:v>LPG</x:v>
      </x:c>
      <x:c r="B3" s="1" t="str">
        <x:v>Petroleum Product</x:v>
      </x:c>
      <x:c r="C3" s="1" t="n">
        <x:v>3703.168442</x:v>
      </x:c>
      <x:c r="D3" s="1" t="n">
        <x:v>28144.376991</x:v>
      </x:c>
      <x:c r="E3" s="1" t="n">
        <x:v>2974.265826</x:v>
      </x:c>
      <x:c r="F3" s="1" t="n">
        <x:v>4.073140375894823</x:v>
      </x:c>
      <x:c r="G3" s="1" t="n">
        <x:v>4.353318355015428</x:v>
      </x:c>
      <x:c r="H3" s="1" t="n">
        <x:v>4.313075142975859</x:v>
      </x:c>
      <x:c r="I3" s="1" t="n">
        <x:v>76000.80156170223</x:v>
      </x:c>
      <x:c r="J3" s="1" t="n">
        <x:v>803.1678473673923</x:v>
      </x:c>
      <x:c r="K3" s="1" t="n">
        <x:v>2</x:v>
      </x:c>
      <x:c r="L3" s="1" t="n">
        <x:v>2</x:v>
      </x:c>
    </x:row>
    <x:row r="4">
      <x:c r="A4" s="1" t="str">
        <x:v>Petcoke</x:v>
      </x:c>
      <x:c r="B4" s="1" t="str">
        <x:v>Petroleum Product</x:v>
      </x:c>
      <x:c r="C4" s="1" t="n">
        <x:v>2202.979796</x:v>
      </x:c>
      <x:c r="D4" s="1" t="n">
        <x:v>2946.241973</x:v>
      </x:c>
      <x:c r="E4" s="1" t="n">
        <x:v>323.674466</x:v>
      </x:c>
      <x:c r="F4" s="1" t="n">
        <x:v>2.4230725917295826</x:v>
      </x:c>
      <x:c r="G4" s="1" t="n">
        <x:v>0.45571906826998665</x:v>
      </x:c>
      <x:c r="H4" s="1" t="n">
        <x:v>0.46937038428675576</x:v>
      </x:c>
      <x:c r="I4" s="1" t="n">
        <x:v>13373.894660085207</x:v>
      </x:c>
      <x:c r="J4" s="1" t="n">
        <x:v>146.92575328548315</x:v>
      </x:c>
      <x:c r="K4" s="1" t="n">
        <x:v>3</x:v>
      </x:c>
      <x:c r="L4" s="1" t="n">
        <x:v>5</x:v>
      </x:c>
    </x:row>
    <x:row r="5">
      <x:c r="A5" s="1" t="str">
        <x:v>LOBS/ Lube Oil</x:v>
      </x:c>
      <x:c r="B5" s="1" t="str">
        <x:v>Petroleum Product</x:v>
      </x:c>
      <x:c r="C5" s="1" t="n">
        <x:v>982.270282</x:v>
      </x:c>
      <x:c r="D5" s="1" t="n">
        <x:v>8687.481597</x:v>
      </x:c>
      <x:c r="E5" s="1" t="n">
        <x:v>939.5295160000001</x:v>
      </x:c>
      <x:c r="F5" s="1" t="n">
        <x:v>1.0804058222895696</x:v>
      </x:c>
      <x:c r="G5" s="1" t="n">
        <x:v>1.3437630226163015</x:v>
      </x:c>
      <x:c r="H5" s="1" t="n">
        <x:v>1.362440897558072</x:v>
      </x:c>
      <x:c r="I5" s="1" t="n">
        <x:v>88442.88335091868</x:v>
      </x:c>
      <x:c r="J5" s="1" t="n">
        <x:v>956.4877745125553</x:v>
      </x:c>
      <x:c r="K5" s="1" t="n">
        <x:v>4</x:v>
      </x:c>
      <x:c r="L5" s="1" t="n">
        <x:v>3</x:v>
      </x:c>
    </x:row>
    <x:row r="6">
      <x:c r="A6" s="1" t="str">
        <x:v>Others</x:v>
      </x:c>
      <x:c r="B6" s="1" t="str">
        <x:v>Petroleum Product</x:v>
      </x:c>
      <x:c r="C6" s="1" t="n">
        <x:v>878.700169</x:v>
      </x:c>
      <x:c r="D6" s="1" t="n">
        <x:v>6241.604238</x:v>
      </x:c>
      <x:c r="E6" s="1" t="n">
        <x:v>667.173733</x:v>
      </x:c>
      <x:c r="F6" s="1" t="n">
        <x:v>0.9664883444314857</x:v>
      </x:c>
      <x:c r="G6" s="1" t="n">
        <x:v>0.9654393949710252</x:v>
      </x:c>
      <x:c r="H6" s="1" t="n">
        <x:v>0.9674893275153789</x:v>
      </x:c>
      <x:c r="I6" s="1" t="n">
        <x:v>71032.24123768206</x:v>
      </x:c>
      <x:c r="J6" s="1" t="n">
        <x:v>759.27347750402</x:v>
      </x:c>
      <x:c r="K6" s="1" t="n">
        <x:v>5</x:v>
      </x:c>
      <x:c r="L6" s="1" t="n">
        <x:v>4</x:v>
      </x:c>
    </x:row>
    <x:row r="7">
      <x:c r="A7" s="1" t="str">
        <x:v>Bitumen</x:v>
      </x:c>
      <x:c r="B7" s="1" t="str">
        <x:v>Petroleum Product</x:v>
      </x:c>
      <x:c r="C7" s="1" t="n">
        <x:v>542.468022</x:v>
      </x:c>
      <x:c r="D7" s="1" t="n">
        <x:v>2139.220999</x:v>
      </x:c>
      <x:c r="E7" s="1" t="n">
        <x:v>233.409016</x:v>
      </x:c>
      <x:c r="F7" s="1" t="n">
        <x:v>0.5966642991391103</x:v>
      </x:c>
      <x:c r="G7" s="1" t="n">
        <x:v>0.33089060892551136</x:v>
      </x:c>
      <x:c r="H7" s="1" t="n">
        <x:v>0.3384736549960463</x:v>
      </x:c>
      <x:c r="I7" s="1" t="n">
        <x:v>39434.96966167713</x:v>
      </x:c>
      <x:c r="J7" s="1" t="n">
        <x:v>430.2723967754914</x:v>
      </x:c>
      <x:c r="K7" s="1" t="n">
        <x:v>6</x:v>
      </x:c>
      <x:c r="L7" s="1" t="n">
        <x:v>7</x:v>
      </x:c>
    </x:row>
    <x:row r="8">
      <x:c r="A8" s="1" t="str">
        <x:v>Fuel Oil</x:v>
      </x:c>
      <x:c r="B8" s="1" t="str">
        <x:v>Petroleum Product</x:v>
      </x:c>
      <x:c r="C8" s="1" t="n">
        <x:v>442.14465</x:v>
      </x:c>
      <x:c r="D8" s="1" t="n">
        <x:v>2217.2316769999998</x:v>
      </x:c>
      <x:c r="E8" s="1" t="n">
        <x:v>235.248764</x:v>
      </x:c>
      <x:c r="F8" s="1" t="n">
        <x:v>0.48631793398202794</x:v>
      </x:c>
      <x:c r="G8" s="1" t="n">
        <x:v>0.3429571512594631</x:v>
      </x:c>
      <x:c r="H8" s="1" t="n">
        <x:v>0.34114153064413894</x:v>
      </x:c>
      <x:c r="I8" s="1" t="n">
        <x:v>50147.20130617886</x:v>
      </x:c>
      <x:c r="J8" s="1" t="n">
        <x:v>532.0628984202342</x:v>
      </x:c>
      <x:c r="K8" s="1" t="n">
        <x:v>7</x:v>
      </x:c>
      <x:c r="L8" s="1" t="n">
        <x:v>6</x:v>
      </x:c>
    </x:row>
    <x:row r="9">
      <x:c r="A9" s="1" t="str">
        <x:v>Naphtha</x:v>
      </x:c>
      <x:c r="B9" s="1" t="str">
        <x:v>Petroleum Product</x:v>
      </x:c>
      <x:c r="C9" s="1" t="n">
        <x:v>270.674272</x:v>
      </x:c>
      <x:c r="D9" s="1" t="n">
        <x:v>1929.956613</x:v>
      </x:c>
      <x:c r="E9" s="1" t="n">
        <x:v>204.914102</x:v>
      </x:c>
      <x:c r="F9" s="1" t="n">
        <x:v>0.2977164888032219</x:v>
      </x:c>
      <x:c r="G9" s="1" t="n">
        <x:v>0.29852199430255666</x:v>
      </x:c>
      <x:c r="H9" s="1" t="n">
        <x:v>0.2971522962256636</x:v>
      </x:c>
      <x:c r="I9" s="1" t="n">
        <x:v>71301.81227567872</x:v>
      </x:c>
      <x:c r="J9" s="1" t="n">
        <x:v>757.0505334175242</x:v>
      </x:c>
      <x:c r="K9" s="1" t="n">
        <x:v>8</x:v>
      </x:c>
      <x:c r="L9" s="1" t="n">
        <x:v>8</x:v>
      </x:c>
    </x:row>
    <x:row r="10">
      <x:c r="A10" s="1" t="str">
        <x:v>HSD</x:v>
      </x:c>
      <x:c r="B10" s="1" t="str">
        <x:v>Petroleum Product</x:v>
      </x:c>
      <x:c r="C10" s="1" t="n">
        <x:v>8.280855</x:v>
      </x:c>
      <x:c r="D10" s="1" t="n">
        <x:v>63.549691</x:v>
      </x:c>
      <x:c r="E10" s="1" t="n">
        <x:v>6.976466</x:v>
      </x:c>
      <x:c r="F10" s="1" t="n">
        <x:v>0.009108169227434383</x:v>
      </x:c>
      <x:c r="G10" s="1" t="n">
        <x:v>0.00982974454806111</x:v>
      </x:c>
      <x:c r="H10" s="1" t="n">
        <x:v>0.010116789772917972</x:v>
      </x:c>
      <x:c r="I10" s="1" t="n">
        <x:v>76742.91000144309</x:v>
      </x:c>
      <x:c r="J10" s="1" t="n">
        <x:v>842.4813621298766</x:v>
      </x:c>
      <x:c r="K10" s="1" t="n">
        <x:v>9</x:v>
      </x:c>
      <x:c r="L10" s="1" t="n">
        <x:v>9</x:v>
      </x:c>
    </x:row>
    <x:row r="11">
      <x:c r="A11" s="1" t="str">
        <x:v>ATF</x:v>
      </x:c>
      <x:c r="B11" s="1" t="str">
        <x:v>Petroleum Product</x:v>
      </x:c>
      <x:c r="C11" s="1" t="n">
        <x:v>0.057461</x:v>
      </x:c>
      <x:c r="D11" s="1" t="n">
        <x:v>0.518301</x:v>
      </x:c>
      <x:c r="E11" s="1" t="n">
        <x:v>0.05566600000000001</x:v>
      </x:c>
      <x:c r="F11" s="1" t="n">
        <x:v>0.00006320174812596127</x:v>
      </x:c>
      <x:c r="G11" s="1" t="n">
        <x:v>0.00008016980647482018</x:v>
      </x:c>
      <x:c r="H11" s="1" t="n">
        <x:v>0.00008072299348971986</x:v>
      </x:c>
      <x:c r="I11" s="1" t="n">
        <x:v>90200.48380640784</x:v>
      </x:c>
      <x:c r="J11" s="1" t="n">
        <x:v>968.7614207897532</x:v>
      </x:c>
      <x:c r="K11" s="1" t="n">
        <x:v>10</x:v>
      </x:c>
      <x:c r="L11" s="1" t="n">
        <x:v>10</x:v>
      </x:c>
    </x:row>
    <x:row r="12">
      <x:c r="A12" s="1" t="str">
        <x:v>MS</x:v>
      </x:c>
      <x:c r="B12" s="1" t="str">
        <x:v>Petroleum Product</x:v>
      </x:c>
      <x:c r="C12" s="1" t="n">
        <x:v>0.002568</x:v>
      </x:c>
      <x:c r="D12" s="1" t="n">
        <x:v>0.191158</x:v>
      </x:c>
      <x:c r="E12" s="1" t="n">
        <x:v>0.0212</x:v>
      </x:c>
      <x:c r="F12" s="1" t="n">
        <x:v>0.0000028245608184241234</x:v>
      </x:c>
      <x:c r="G12" s="1" t="n">
        <x:v>0.00002956795349828318</x:v>
      </x:c>
      <x:c r="H12" s="1" t="n">
        <x:v>0.000030742777673661854</x:v>
      </x:c>
      <x:c r="I12" s="1" t="n">
        <x:v>744384.7352024922</x:v>
      </x:c>
      <x:c r="J12" s="1" t="n">
        <x:v>8255.451713395638</x:v>
      </x:c>
      <x:c r="K12" s="1" t="n">
        <x:v>11</x:v>
      </x:c>
      <x:c r="L12" s="1" t="n">
        <x:v>11</x:v>
      </x:c>
    </x:row>
    <x:row r="13">
      <x:c r="A13" s="1" t="str">
        <x:v>SKO</x:v>
      </x:c>
      <x:c r="B13" s="1" t="str">
        <x:v>Petroleum Product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/>
      <x:c r="J13" s="1"/>
      <x:c r="K13" s="1" t="n">
        <x:v>12</x:v>
      </x:c>
      <x:c r="L13" s="1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afda2b5361cb4be0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" hidden="0" customWidth="1"/>
    <x:col min="2" max="2" width="14" hidden="0" customWidth="1"/>
    <x:col min="3" max="3" width="11.630000114440918" hidden="0" customWidth="1"/>
    <x:col min="4" max="4" width="13" hidden="0" customWidth="1"/>
    <x:col min="5" max="5" width="16.1299991607666" hidden="0" customWidth="1"/>
    <x:col min="6" max="6" width="14.630000114440918" hidden="0" customWidth="1"/>
    <x:col min="7" max="7" width="18.8799991607666" hidden="0" customWidth="1"/>
    <x:col min="8" max="8" width="20" hidden="0" customWidth="1"/>
    <x:col min="9" max="9" width="25.5" hidden="0" customWidth="1"/>
    <x:col min="10" max="10" width="20.6299991607666" hidden="0" customWidth="1"/>
    <x:col min="11" max="11" width="25.75" hidden="0" customWidth="1"/>
  </x:cols>
  <x:sheetData>
    <x:row r="1" ht="32" customHeight="1">
      <x:c r="A1" s="5" t="str">
        <x:v>Product</x:v>
      </x:c>
      <x:c r="B1" s="5" t="str">
        <x:v>Volume_000MT</x:v>
      </x:c>
      <x:c r="C1" s="5" t="str">
        <x:v>Value_Rs_Cr</x:v>
      </x:c>
      <x:c r="D1" s="5" t="str">
        <x:v>Value_USD_M</x:v>
      </x:c>
      <x:c r="E1" s="5" t="str">
        <x:v>Volume_Share_pct</x:v>
      </x:c>
      <x:c r="F1" s="5" t="str">
        <x:v>Value_Share_pct</x:v>
      </x:c>
      <x:c r="G1" s="5" t="str">
        <x:v>Implied_Rs_per_Tonne</x:v>
      </x:c>
      <x:c r="H1" s="5" t="str">
        <x:v>Value_to_Volume_Index</x:v>
      </x:c>
      <x:c r="I1" s="5" t="str">
        <x:v>Value_minus_Volume_Share_pp</x:v>
      </x:c>
      <x:c r="J1" s="5" t="str">
        <x:v>Financial_Exposure_Rank</x:v>
      </x:c>
      <x:c r="K1" s="5" t="str">
        <x:v>High_Value_Relative_to_Volume</x:v>
      </x:c>
    </x:row>
    <x:row r="2">
      <x:c r="A2" s="1" t="str">
        <x:v>Crude Oil</x:v>
      </x:c>
      <x:c r="B2" s="1" t="n">
        <x:v>81886.042502</x:v>
      </x:c>
      <x:c r="C2" s="1" t="n">
        <x:v>594133.619712</x:v>
      </x:c>
      <x:c r="D2" s="1" t="n">
        <x:v>63374.017309</x:v>
      </x:c>
      <x:c r="E2" s="1" t="n">
        <x:v>90.06701994819379</x:v>
      </x:c>
      <x:c r="F2" s="1" t="n">
        <x:v>91.8994509223317</x:v>
      </x:c>
      <x:c r="G2" s="1" t="n">
        <x:v>72556.15261874314</x:v>
      </x:c>
      <x:c r="H2" s="1" t="n">
        <x:v>1.0203451937811634</x:v>
      </x:c>
      <x:c r="I2" s="1" t="n">
        <x:v>1.8324309741379068</x:v>
      </x:c>
      <x:c r="J2" s="1" t="n">
        <x:v>1</x:v>
      </x:c>
      <x:c r="K2" s="1" t="str">
        <x:v>True</x:v>
      </x:c>
    </x:row>
    <x:row r="3">
      <x:c r="A3" s="1" t="str">
        <x:v>LPG</x:v>
      </x:c>
      <x:c r="B3" s="1" t="n">
        <x:v>3703.168442</x:v>
      </x:c>
      <x:c r="C3" s="1" t="n">
        <x:v>28144.376991</x:v>
      </x:c>
      <x:c r="D3" s="1" t="n">
        <x:v>2974.265826</x:v>
      </x:c>
      <x:c r="E3" s="1" t="n">
        <x:v>4.073140375894823</x:v>
      </x:c>
      <x:c r="F3" s="1" t="n">
        <x:v>4.353318355015428</x:v>
      </x:c>
      <x:c r="G3" s="1" t="n">
        <x:v>76000.80156170223</x:v>
      </x:c>
      <x:c r="H3" s="1" t="n">
        <x:v>1.0687867230844095</x:v>
      </x:c>
      <x:c r="I3" s="1" t="n">
        <x:v>0.28017797912060516</x:v>
      </x:c>
      <x:c r="J3" s="1" t="n">
        <x:v>2</x:v>
      </x:c>
      <x:c r="K3" s="1" t="str">
        <x:v>True</x:v>
      </x:c>
    </x:row>
    <x:row r="4">
      <x:c r="A4" s="1" t="str">
        <x:v>LOBS/ Lube Oil</x:v>
      </x:c>
      <x:c r="B4" s="1" t="n">
        <x:v>982.270282</x:v>
      </x:c>
      <x:c r="C4" s="1" t="n">
        <x:v>8687.481597</x:v>
      </x:c>
      <x:c r="D4" s="1" t="n">
        <x:v>939.529516</x:v>
      </x:c>
      <x:c r="E4" s="1" t="n">
        <x:v>1.0804058222895696</x:v>
      </x:c>
      <x:c r="F4" s="1" t="n">
        <x:v>1.3437630226163015</x:v>
      </x:c>
      <x:c r="G4" s="1" t="n">
        <x:v>88442.88335091868</x:v>
      </x:c>
      <x:c r="H4" s="1" t="n">
        <x:v>1.2437576648454483</x:v>
      </x:c>
      <x:c r="I4" s="1" t="n">
        <x:v>0.26335720032673193</x:v>
      </x:c>
      <x:c r="J4" s="1" t="n">
        <x:v>3</x:v>
      </x:c>
      <x:c r="K4" s="1" t="str">
        <x:v>True</x:v>
      </x:c>
    </x:row>
    <x:row r="5">
      <x:c r="A5" s="1" t="str">
        <x:v>Others</x:v>
      </x:c>
      <x:c r="B5" s="1" t="n">
        <x:v>878.700169</x:v>
      </x:c>
      <x:c r="C5" s="1" t="n">
        <x:v>6241.604238</x:v>
      </x:c>
      <x:c r="D5" s="1" t="n">
        <x:v>667.173733</x:v>
      </x:c>
      <x:c r="E5" s="1" t="n">
        <x:v>0.9664883444314856</x:v>
      </x:c>
      <x:c r="F5" s="1" t="n">
        <x:v>0.9654393949710252</x:v>
      </x:c>
      <x:c r="G5" s="1" t="n">
        <x:v>71032.24123768206</x:v>
      </x:c>
      <x:c r="H5" s="1" t="n">
        <x:v>0.9989146796580589</x:v>
      </x:c>
      <x:c r="I5" s="1" t="n">
        <x:v>-0.0010489494604604133</x:v>
      </x:c>
      <x:c r="J5" s="1" t="n">
        <x:v>4</x:v>
      </x:c>
      <x:c r="K5" s="1" t="str">
        <x:v>False</x:v>
      </x:c>
    </x:row>
    <x:row r="6">
      <x:c r="A6" s="1" t="str">
        <x:v>Petcoke</x:v>
      </x:c>
      <x:c r="B6" s="1" t="n">
        <x:v>2202.979796</x:v>
      </x:c>
      <x:c r="C6" s="1" t="n">
        <x:v>2946.241973</x:v>
      </x:c>
      <x:c r="D6" s="1" t="n">
        <x:v>323.674466</x:v>
      </x:c>
      <x:c r="E6" s="1" t="n">
        <x:v>2.4230725917295826</x:v>
      </x:c>
      <x:c r="F6" s="1" t="n">
        <x:v>0.4557190682699866</x:v>
      </x:c>
      <x:c r="G6" s="1" t="n">
        <x:v>13373.894660085209</x:v>
      </x:c>
      <x:c r="H6" s="1" t="n">
        <x:v>0.18807487230281267</x:v>
      </x:c>
      <x:c r="I6" s="1" t="n">
        <x:v>-1.967353523459596</x:v>
      </x:c>
      <x:c r="J6" s="1" t="n">
        <x:v>5</x:v>
      </x:c>
      <x:c r="K6" s="1" t="str">
        <x:v>False</x:v>
      </x:c>
    </x:row>
    <x:row r="7">
      <x:c r="A7" s="1" t="str">
        <x:v>Fuel Oil</x:v>
      </x:c>
      <x:c r="B7" s="1" t="n">
        <x:v>442.14465</x:v>
      </x:c>
      <x:c r="C7" s="1" t="n">
        <x:v>2217.231677</x:v>
      </x:c>
      <x:c r="D7" s="1" t="n">
        <x:v>235.248764</x:v>
      </x:c>
      <x:c r="E7" s="1" t="n">
        <x:v>0.4863179339820279</x:v>
      </x:c>
      <x:c r="F7" s="1" t="n">
        <x:v>0.3429571512594631</x:v>
      </x:c>
      <x:c r="G7" s="1" t="n">
        <x:v>50147.20130617886</x:v>
      </x:c>
      <x:c r="H7" s="1" t="n">
        <x:v>0.705211811646118</x:v>
      </x:c>
      <x:c r="I7" s="1" t="n">
        <x:v>-0.1433607827225648</x:v>
      </x:c>
      <x:c r="J7" s="1" t="n">
        <x:v>6</x:v>
      </x:c>
      <x:c r="K7" s="1" t="str">
        <x:v>False</x:v>
      </x:c>
    </x:row>
    <x:row r="8">
      <x:c r="A8" s="1" t="str">
        <x:v>Bitumen</x:v>
      </x:c>
      <x:c r="B8" s="1" t="n">
        <x:v>542.468022</x:v>
      </x:c>
      <x:c r="C8" s="1" t="n">
        <x:v>2139.220999</x:v>
      </x:c>
      <x:c r="D8" s="1" t="n">
        <x:v>233.409016</x:v>
      </x:c>
      <x:c r="E8" s="1" t="n">
        <x:v>0.5966642991391103</x:v>
      </x:c>
      <x:c r="F8" s="1" t="n">
        <x:v>0.3308906089255113</x:v>
      </x:c>
      <x:c r="G8" s="1" t="n">
        <x:v>39434.96966167713</x:v>
      </x:c>
      <x:c r="H8" s="1" t="n">
        <x:v>0.5545674668367668</x:v>
      </x:c>
      <x:c r="I8" s="1" t="n">
        <x:v>-0.26577369021359903</x:v>
      </x:c>
      <x:c r="J8" s="1" t="n">
        <x:v>7</x:v>
      </x:c>
      <x:c r="K8" s="1" t="str">
        <x:v>False</x:v>
      </x:c>
    </x:row>
    <x:row r="9">
      <x:c r="A9" s="1" t="str">
        <x:v>Naphtha</x:v>
      </x:c>
      <x:c r="B9" s="1" t="n">
        <x:v>270.674272</x:v>
      </x:c>
      <x:c r="C9" s="1" t="n">
        <x:v>1929.956613</x:v>
      </x:c>
      <x:c r="D9" s="1" t="n">
        <x:v>204.914102</x:v>
      </x:c>
      <x:c r="E9" s="1" t="n">
        <x:v>0.2977164888032219</x:v>
      </x:c>
      <x:c r="F9" s="1" t="n">
        <x:v>0.2985219943025566</x:v>
      </x:c>
      <x:c r="G9" s="1" t="n">
        <x:v>71301.81227567872</x:v>
      </x:c>
      <x:c r="H9" s="1" t="n">
        <x:v>1.0027056126537457</x:v>
      </x:c>
      <x:c r="I9" s="1" t="n">
        <x:v>0.0008055054993347244</x:v>
      </x:c>
      <x:c r="J9" s="1" t="n">
        <x:v>8</x:v>
      </x:c>
      <x:c r="K9" s="1" t="str">
        <x:v>True</x:v>
      </x:c>
    </x:row>
    <x:row r="10">
      <x:c r="A10" s="1" t="str">
        <x:v>HSD</x:v>
      </x:c>
      <x:c r="B10" s="1" t="n">
        <x:v>8.280855</x:v>
      </x:c>
      <x:c r="C10" s="1" t="n">
        <x:v>63.549691</x:v>
      </x:c>
      <x:c r="D10" s="1" t="n">
        <x:v>6.976466</x:v>
      </x:c>
      <x:c r="E10" s="1" t="n">
        <x:v>0.0091081692274343</x:v>
      </x:c>
      <x:c r="F10" s="1" t="n">
        <x:v>0.0098297445480611</x:v>
      </x:c>
      <x:c r="G10" s="1" t="n">
        <x:v>76742.91000144309</x:v>
      </x:c>
      <x:c r="H10" s="1" t="n">
        <x:v>1.0792228715353</x:v>
      </x:c>
      <x:c r="I10" s="1" t="n">
        <x:v>0.0007215753206267998</x:v>
      </x:c>
      <x:c r="J10" s="1" t="n">
        <x:v>9</x:v>
      </x:c>
      <x:c r="K10" s="1" t="str">
        <x:v>True</x:v>
      </x:c>
    </x:row>
    <x:row r="11">
      <x:c r="A11" s="1" t="str">
        <x:v>ATF</x:v>
      </x:c>
      <x:c r="B11" s="1" t="n">
        <x:v>0.057461</x:v>
      </x:c>
      <x:c r="C11" s="1" t="n">
        <x:v>0.518301</x:v>
      </x:c>
      <x:c r="D11" s="1" t="n">
        <x:v>0.055666</x:v>
      </x:c>
      <x:c r="E11" s="1" t="n">
        <x:v>0.00006320174812596127</x:v>
      </x:c>
      <x:c r="F11" s="1" t="n">
        <x:v>0.00008016980647482018</x:v>
      </x:c>
      <x:c r="G11" s="1" t="n">
        <x:v>90200.48380640784</x:v>
      </x:c>
      <x:c r="H11" s="1" t="n">
        <x:v>1.2684745098354167</x:v>
      </x:c>
      <x:c r="I11" s="1" t="n">
        <x:v>0.00001696805834885891</x:v>
      </x:c>
      <x:c r="J11" s="1" t="n">
        <x:v>10</x:v>
      </x:c>
      <x:c r="K11" s="1" t="str">
        <x:v>True</x:v>
      </x:c>
    </x:row>
    <x:row r="12">
      <x:c r="A12" s="1" t="str">
        <x:v>MS</x:v>
      </x:c>
      <x:c r="B12" s="1" t="n">
        <x:v>0.002568</x:v>
      </x:c>
      <x:c r="C12" s="1" t="n">
        <x:v>0.191158</x:v>
      </x:c>
      <x:c r="D12" s="1" t="n">
        <x:v>0.0212</x:v>
      </x:c>
      <x:c r="E12" s="1" t="n">
        <x:v>0.0000028245608184241238</x:v>
      </x:c>
      <x:c r="F12" s="1" t="n">
        <x:v>0.00002956795349828318</x:v>
      </x:c>
      <x:c r="G12" s="1" t="n">
        <x:v>744384.7352024922</x:v>
      </x:c>
      <x:c r="H12" s="1" t="n">
        <x:v>10.468159618095852</x:v>
      </x:c>
      <x:c r="I12" s="1" t="n">
        <x:v>0.00002674339267985906</x:v>
      </x:c>
      <x:c r="J12" s="1" t="n">
        <x:v>11</x:v>
      </x:c>
      <x:c r="K12" s="1" t="str">
        <x:v>True</x:v>
      </x:c>
    </x:row>
    <x:row r="13">
      <x:c r="A13" s="1" t="str">
        <x:v>SKO</x:v>
      </x:c>
      <x:c r="B13" s="1" t="n">
        <x:v>0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/>
      <x:c r="H13" s="1"/>
      <x:c r="I13" s="1" t="n">
        <x:v>0</x:v>
      </x:c>
      <x:c r="J13" s="1" t="n">
        <x:v>12</x:v>
      </x:c>
      <x:c r="K13" s="1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5af9373f1651445c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880000114440918" hidden="0" customWidth="1"/>
    <x:col min="2" max="2" width="19.75" hidden="0" customWidth="1"/>
    <x:col min="3" max="3" width="19" hidden="0" customWidth="1"/>
    <x:col min="4" max="4" width="18.3799991607666" hidden="0" customWidth="1"/>
    <x:col min="5" max="5" width="24.3799991607666" hidden="0" customWidth="1"/>
    <x:col min="6" max="6" width="23.75" hidden="0" customWidth="1"/>
    <x:col min="7" max="7" width="25.25" hidden="0" customWidth="1"/>
    <x:col min="8" max="8" width="22.8799991607666" hidden="0" customWidth="1"/>
    <x:col min="9" max="9" width="22.6299991607666" hidden="0" customWidth="1"/>
    <x:col min="10" max="10" width="23.75" hidden="0" customWidth="1"/>
    <x:col min="11" max="11" width="20" hidden="0" customWidth="1"/>
    <x:col min="12" max="12" width="21.25" hidden="0" customWidth="1"/>
    <x:col min="13" max="13" width="13.630000114440918" hidden="0" customWidth="1"/>
    <x:col min="14" max="14" width="26.6299991607666" hidden="0" customWidth="1"/>
    <x:col min="15" max="15" width="29.8799991607666" hidden="0" customWidth="1"/>
    <x:col min="16" max="16" width="26.5" hidden="0" customWidth="1"/>
  </x:cols>
  <x:sheetData>
    <x:row r="1" ht="32" customHeight="1">
      <x:c r="A1" s="5" t="str">
        <x:v>Transition</x:v>
      </x:c>
      <x:c r="B1" s="5" t="str">
        <x:v>Previous_USD_Value_M</x:v>
      </x:c>
      <x:c r="C1" s="5" t="str">
        <x:v>Current_USD_Value_M</x:v>
      </x:c>
      <x:c r="D1" s="5" t="str">
        <x:v>USD_Value_MoM_pct</x:v>
      </x:c>
      <x:c r="E1" s="5" t="str">
        <x:v>Previous_Implied_Rs_per_USD</x:v>
      </x:c>
      <x:c r="F1" s="5" t="str">
        <x:v>Current_Implied_Rs_per_USD</x:v>
      </x:c>
      <x:c r="G1" s="5" t="str">
        <x:v>Implied_Rs_per_USD_MoM_pct</x:v>
      </x:c>
      <x:c r="H1" s="5" t="str">
        <x:v>Actual_Rs_Value_Change_Cr</x:v>
      </x:c>
      <x:c r="I1" s="5" t="str">
        <x:v>USD_Exposure_Effect_Rs_Cr</x:v>
      </x:c>
      <x:c r="J1" s="5" t="str">
        <x:v>Currency_Factor_Effect_Rs_Cr</x:v>
      </x:c>
      <x:c r="K1" s="5" t="str">
        <x:v>Interaction_Effect_Rs_Cr</x:v>
      </x:c>
      <x:c r="L1" s="5" t="str">
        <x:v>Reconciled_Change_Rs_Cr</x:v>
      </x:c>
      <x:c r="M1" s="5" t="str">
        <x:v>Residual_Rs_Cr</x:v>
      </x:c>
      <x:c r="N1" s="5" t="str">
        <x:v>USD_Effect_Share_of_Change_pct</x:v>
      </x:c>
      <x:c r="O1" s="5" t="str">
        <x:v>Currency_Effect_Share_of_Change_pct</x:v>
      </x:c>
      <x:c r="P1" s="5" t="str">
        <x:v>Interaction_Share_of_Change_pct</x:v>
      </x:c>
    </x:row>
    <x:row r="2">
      <x:c r="A2" s="1" t="str">
        <x:v>Apr → May</x:v>
      </x:c>
      <x:c r="B2" s="1" t="n">
        <x:v>16634.916040999997</x:v>
      </x:c>
      <x:c r="C2" s="1" t="n">
        <x:v>21196.141556</x:v>
      </x:c>
      <x:c r="D2" s="1" t="n">
        <x:v>27.41958843530061</x:v>
      </x:c>
      <x:c r="E2" s="1" t="n">
        <x:v>93.97747637961764</x:v>
      </x:c>
      <x:c r="F2" s="1" t="n">
        <x:v>91.6818684478878</x:v>
      </x:c>
      <x:c r="G2" s="1" t="n">
        <x:v>-2.4427214053470037</x:v>
      </x:c>
      <x:c r="H2" s="1" t="n">
        <x:v>37999.44324200004</x:v>
      </x:c>
      <x:c r="I2" s="1" t="n">
        <x:v>42865.2463098022</x:v>
      </x:c>
      <x:c r="J2" s="1" t="n">
        <x:v>-3818.7245207379665</x:v>
      </x:c>
      <x:c r="K2" s="1" t="n">
        <x:v>-1047.0785470642563</x:v>
      </x:c>
      <x:c r="L2" s="1" t="n">
        <x:v>37999.44324199997</x:v>
      </x:c>
      <x:c r="M2" s="1" t="n">
        <x:v>6.548361852765083e-11</x:v>
      </x:c>
      <x:c r="N2" s="1" t="n">
        <x:v>112.80493252707473</x:v>
      </x:c>
      <x:c r="O2" s="1" t="n">
        <x:v>-10.049422293948783</x:v>
      </x:c>
      <x:c r="P2" s="1" t="n">
        <x:v>-2.7555102331261025</x:v>
      </x:c>
    </x:row>
    <x:row r="3">
      <x:c r="A3" s="1" t="str">
        <x:v>May → Jun</x:v>
      </x:c>
      <x:c r="B3" s="1" t="n">
        <x:v>21196.141556</x:v>
      </x:c>
      <x:c r="C3" s="1" t="n">
        <x:v>16084.755151999998</x:v>
      </x:c>
      <x:c r="D3" s="1" t="n">
        <x:v>-24.114702152256196</x:v>
      </x:c>
      <x:c r="E3" s="1" t="n">
        <x:v>91.6818684478878</x:v>
      </x:c>
      <x:c r="F3" s="1" t="n">
        <x:v>94.8799956541608</x:v>
      </x:c>
      <x:c r="G3" s="1" t="n">
        <x:v>3.488287553924385</x:v>
      </x:c>
      <x:c r="H3" s="1" t="n">
        <x:v>-41718.03628199999</x:v>
      </x:c>
      <x:c r="I3" s="1" t="n">
        <x:v>-46862.14558778503</x:v>
      </x:c>
      <x:c r="J3" s="1" t="n">
        <x:v>6778.795697825731</x:v>
      </x:c>
      <x:c r="K3" s="1" t="n">
        <x:v>-1634.6863920406317</x:v>
      </x:c>
      <x:c r="L3" s="1" t="n">
        <x:v>-41718.036281999935</x:v>
      </x:c>
      <x:c r="M3" s="1" t="n">
        <x:v>-5.093170329928398e-11</x:v>
      </x:c>
      <x:c r="N3" s="1" t="n">
        <x:v>112.33066022334461</x:v>
      </x:c>
      <x:c r="O3" s="1" t="n">
        <x:v>-16.24907666315676</x:v>
      </x:c>
      <x:c r="P3" s="1" t="n">
        <x:v>3.9184164398120225</x:v>
      </x:c>
    </x:row>
    <x:row r="4">
      <x:c r="A4" s="1" t="str">
        <x:v>Jun → Jul</x:v>
      </x:c>
      <x:c r="B4" s="1" t="n">
        <x:v>16084.755151999998</x:v>
      </x:c>
      <x:c r="C4" s="1" t="n">
        <x:v>15043.473315</x:v>
      </x:c>
      <x:c r="D4" s="1" t="n">
        <x:v>-6.473718916824945</x:v>
      </x:c>
      <x:c r="E4" s="1" t="n">
        <x:v>94.8799956541608</x:v>
      </x:c>
      <x:c r="F4" s="1" t="n">
        <x:v>95.2113324847547</x:v>
      </x:c>
      <x:c r="G4" s="1" t="n">
        <x:v>0.3492167430125592</x:v>
      </x:c>
      <x:c r="H4" s="1" t="n">
        <x:v>-9381.235939999984</x:v>
      </x:c>
      <x:c r="I4" s="1" t="n">
        <x:v>-9879.681616931644</x:v>
      </x:c>
      <x:c r="J4" s="1" t="n">
        <x:v>532.9471792942779</x:v>
      </x:c>
      <x:c r="K4" s="1" t="n">
        <x:v>-34.50150236265862</x:v>
      </x:c>
      <x:c r="L4" s="1" t="n">
        <x:v>-9381.235940000024</x:v>
      </x:c>
      <x:c r="M4" s="1" t="n">
        <x:v>4.001776687800884e-11</x:v>
      </x:c>
      <x:c r="N4" s="1" t="n">
        <x:v>105.31321970921095</x:v>
      </x:c>
      <x:c r="O4" s="1" t="n">
        <x:v>-5.680991105040674</x:v>
      </x:c>
      <x:c r="P4" s="1" t="n">
        <x:v>0.3677713958301605</x:v>
      </x:c>
    </x:row>
  </x:sheetData>
  <x:pageMargins left="0.7" right="0.7" top="0.75" bottom="0.75" header="0.3" footer="0.3"/>
  <x:tableParts count="1">
    <x:tablePart xmlns:r="http://schemas.openxmlformats.org/officeDocument/2006/relationships" r:id="Rd7d8c32d46f94540"/>
  </x:tableParts>
</x:worksheet>
</file>